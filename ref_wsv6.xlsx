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/>
    <sheet name="rRMoJr" sheetId="2" r:id="rId5"/>
    <sheet name="6FOx25" sheetId="3" r:id="rId6"/>
    <sheet name="YzlZXZ" sheetId="4" r:id="rId7"/>
    <sheet name="wDn6gi" sheetId="5" r:id="rId8"/>
    <sheet name="3JQZiI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<sst xmlns="http://schemas.openxmlformats.org/spreadsheetml/2006/main" count="201" uniqueCount="201">
  <si>
    <t xml:space="preserve">  </t>
  </si>
  <si>
    <t xml:space="preserve">司机</t>
  </si>
  <si>
    <t xml:space="preserve">指标/月份</t>
  </si>
  <si>
    <t xml:space="preserve">7月目标</t>
  </si>
  <si>
    <t xml:space="preserve">实际达成</t>
  </si>
  <si>
    <t xml:space="preserve">目标完成度</t>
  </si>
  <si>
    <t xml:space="preserve">7M2W</t>
  </si>
  <si>
    <t xml:space="preserve">7M3W</t>
  </si>
  <si>
    <t xml:space="preserve">本周进展</t>
  </si>
  <si>
    <t xml:space="preserve">下周规划</t>
  </si>
  <si>
    <t xml:space="preserve">O注册司机数152w</t>
  </si>
  <si>
    <t xml:space="preserve">累计注册司机147.9w,达成进度97%</t>
  </si>
  <si>
    <t xml:space="preserve">线索司机数-累计（万）</t>
  </si>
  <si>
    <t xml:space="preserve">线索司机数-新增（万）</t>
  </si>
  <si>
    <t xml:space="preserve">注册司机数-累计</t>
  </si>
  <si>
    <t xml:space="preserve">注册司机数-新增（万）</t>
  </si>
  <si>
    <t xml:space="preserve">动作及预估收益</t>
  </si>
  <si>
    <t xml:space="preserve">新网线索转化</t>
  </si>
  <si>
    <t xml:space="preserve">共触达新网线索212,546条，完成注册司机3,949人，转化率1.94%</t>
  </si>
  <si>
    <t xml:space="preserve">1.持续扩大新网线索触达
2.输出激励及货源测试方案，落地少量试点，验证转化效果</t>
  </si>
  <si>
    <t xml:space="preserve">注册（万）</t>
  </si>
  <si>
    <t xml:space="preserve">存量线索（万）</t>
  </si>
  <si>
    <t xml:space="preserve">有效线索占比</t>
  </si>
  <si>
    <t xml:space="preserve">触达率</t>
  </si>
  <si>
    <t xml:space="preserve">转化率</t>
  </si>
  <si>
    <t xml:space="preserve">微信私域转化</t>
  </si>
  <si>
    <t xml:space="preserve">1.已完成区域私域建设规划V2.0；
2.完成针对物流集散地司机的线下调研，并优化线索拓展渠道；
3.司机群转化SOP最终版输出，待与电销团队合并输出最终版。</t>
  </si>
  <si>
    <t xml:space="preserve">1.员工自己账号（9人）以最终版SOP；试跑司机群注册转化，每日反馈优化转化流程；
2.同时开展存量司机线索私域转化；
3.周四人员到位后养号操作培训；
4.协助与跟进区域私域搭建进度；</t>
  </si>
  <si>
    <t xml:space="preserve">入群人数（万）</t>
  </si>
  <si>
    <t xml:space="preserve">群数量（个）</t>
  </si>
  <si>
    <t xml:space="preserve">群人数/群</t>
  </si>
  <si>
    <t xml:space="preserve">加微信通过率</t>
  </si>
  <si>
    <t xml:space="preserve">注册转化率</t>
  </si>
  <si>
    <t xml:space="preserve">区域联动</t>
  </si>
  <si>
    <t/>
    <r>
      <rPr/>
      <t>1.完成线下拉新方案，待最终确认</t>
    </r>
    <r>
      <rPr>
        <u val="single"/>
        <color theme="10"/>
      </rPr>
      <t>线下拉新试点方案</t>
    </r>
    <r>
      <rPr/>
      <t xml:space="preserve"> </t>
    </r>
  </si>
  <si>
    <t xml:space="preserve">1.拉齐相关方确定落地细节；
2.落地线下拉新；</t>
  </si>
  <si>
    <t xml:space="preserve">货源条数</t>
  </si>
  <si>
    <t xml:space="preserve">条/货源</t>
  </si>
  <si>
    <t xml:space="preserve">留电话率</t>
  </si>
  <si>
    <t xml:space="preserve">司拉司活动+新媒体引流</t>
  </si>
  <si>
    <t xml:space="preserve">1.8月司拉司优化方案已汇报，申请预算6000元，7月暂无变化；
2.输出新增分享货源或者活动的抽奖任务需求方案，并与各方拉齐；</t>
  </si>
  <si>
    <t xml:space="preserve">1.完成司拉司brd沟通；
2.完成新增分享货源任务brd沟通；
3.千云资源位在商业化售卖，希望能领导对领导沟通，有资源置换或者其他方式可以供免费使用，测试一周：每周带来100左右司机注册</t>
  </si>
  <si>
    <t xml:space="preserve">垂直招聘平台引流</t>
  </si>
  <si>
    <t xml:space="preserve">1.物通网获取司机线索5000条，其中292条历史已完成注册（占比6%）；
</t>
  </si>
  <si>
    <t xml:space="preserve">1.万油通存量用户数据信息7月24日出具；
2.持续探索 线索获取渠道；</t>
  </si>
  <si>
    <t xml:space="preserve">获取电话（万）</t>
  </si>
  <si>
    <t xml:space="preserve">7月目标</t>
  </si>
  <si>
    <t xml:space="preserve">7月实际值（MTD）</t>
  </si>
  <si>
    <t xml:space="preserve">目标完成进度</t>
  </si>
  <si>
    <t xml:space="preserve">7M2W</t>
  </si>
  <si>
    <t xml:space="preserve">7M3W</t>
  </si>
  <si>
    <t xml:space="preserve">本周进展</t>
  </si>
  <si>
    <t xml:space="preserve">下周规划</t>
  </si>
  <si>
    <t xml:space="preserve">7月运单量规模( 万单）</t>
  </si>
  <si>
    <t xml:space="preserve">7月峰值运单量（万单）</t>
  </si>
  <si>
    <t xml:space="preserve">产品手册已完成更新；
宣传手册及单页预计周五完成；
客户案例包装已和客户完成初版沟通。</t>
  </si>
  <si>
    <t xml:space="preserve">客户案例包装视频产出</t>
  </si>
  <si>
    <t xml:space="preserve">线上增长贡献撮合运单规模</t>
  </si>
  <si>
    <t xml:space="preserve">  电销运单规模（万单）</t>
  </si>
  <si>
    <t xml:space="preserve">  投放运单规模（万单）</t>
  </si>
  <si>
    <t xml:space="preserve">  裂变运单规模（万单）</t>
  </si>
  <si>
    <t xml:space="preserve">   调度运单规模（万单）</t>
  </si>
  <si>
    <t xml:space="preserve">区域增长贡献撮合运单规模</t>
  </si>
  <si>
    <t xml:space="preserve"> 产品手册定期更新</t>
  </si>
  <si>
    <t xml:space="preserve">定期更新</t>
  </si>
  <si>
    <t xml:space="preserve">更新中</t>
  </si>
  <si>
    <t xml:space="preserve">  撮合业务介绍手册</t>
  </si>
  <si>
    <t xml:space="preserve">7月24日交付</t>
  </si>
  <si>
    <t xml:space="preserve">制作中</t>
  </si>
  <si>
    <t xml:space="preserve">  客户案例包装</t>
  </si>
  <si>
    <t xml:space="preserve">1个/月</t>
  </si>
  <si>
    <t xml:space="preserve">？</t>
  </si>
  <si>
    <t xml:space="preserve">开放货源成交运单量</t>
  </si>
  <si>
    <t xml:space="preserve">开放货源量</t>
  </si>
  <si>
    <t xml:space="preserve">开放货源成交率</t>
  </si>
  <si>
    <t xml:space="preserve">收取信息费运单规模/占比</t>
  </si>
  <si>
    <t xml:space="preserve">单均信息费金额</t>
  </si>
  <si>
    <t xml:space="preserve">匹配策略基建</t>
  </si>
  <si>
    <t xml:space="preserve">调度工作台运力推荐能力</t>
  </si>
  <si>
    <t xml:space="preserve">1、上报空车和订阅线路预计8月13日上线
2、基于空车和订阅线路的推送预计8月18日上线
3.调度侧推荐货源使用比例较低，需要持续推进；
4、听音发现车找货外呼电话有问题，司机无法联系到货主。
5.7月必保需求8月上旬上线</t>
  </si>
  <si>
    <t xml:space="preserve">1、全量货源自动撮合推送触达规则（PUSH推送）</t>
  </si>
  <si>
    <t xml:space="preserve">自然撮合完单货源占比</t>
  </si>
  <si>
    <t xml:space="preserve">货找车策略建设</t>
  </si>
  <si>
    <t xml:space="preserve">车找货策略建设</t>
  </si>
  <si>
    <t xml:space="preserve">价格能力建设</t>
  </si>
  <si>
    <t xml:space="preserve">参考价能力</t>
  </si>
  <si>
    <t xml:space="preserve">1.因数据问题，偏离度数据无法开展，预计周四恢复；
2.区域价格工具产出完毕</t>
  </si>
  <si>
    <t xml:space="preserve">1.对标MB做偏离价的sop;
2. 以 20% 偏离度为目标优化目前偏离度高的价格模型</t>
  </si>
  <si>
    <t xml:space="preserve">调度工作台价格能力建设</t>
  </si>
  <si>
    <t xml:space="preserve">产品体验提升</t>
  </si>
  <si>
    <t xml:space="preserve">货主体验专项推进</t>
  </si>
  <si>
    <t xml:space="preserve">见附件产运OKR</t>
  </si>
  <si>
    <t xml:space="preserve">司机体验专项推进</t>
  </si>
  <si>
    <t xml:space="preserve">异常运单量</t>
  </si>
  <si>
    <t xml:space="preserve">异常运单占比</t>
  </si>
  <si>
    <t xml:space="preserve">运费异常运单量</t>
  </si>
  <si>
    <t xml:space="preserve">秒装秒卸&amp;时速异常运单量</t>
  </si>
  <si>
    <t xml:space="preserve">行程异常运单量</t>
  </si>
  <si>
    <t xml:space="preserve">品牌力建设，品牌曝光规模</t>
  </si>
  <si>
    <t xml:space="preserve">曝光规模（万）</t>
  </si>
  <si>
    <t xml:space="preserve">41篇媒体传播稿</t>
  </si>
  <si>
    <t xml:space="preserve">7月(时间进度67.74%）</t>
  </si>
  <si>
    <t xml:space="preserve">周度</t>
  </si>
  <si>
    <t xml:space="preserve">分析结论</t>
  </si>
  <si>
    <t xml:space="preserve">本周进展</t>
  </si>
  <si>
    <t xml:space="preserve">下周规划</t>
  </si>
  <si>
    <t xml:space="preserve">7月目标值</t>
  </si>
  <si>
    <t xml:space="preserve">7月实际值</t>
  </si>
  <si>
    <t xml:space="preserve">目标完成度</t>
  </si>
  <si>
    <t xml:space="preserve">M7W2</t>
  </si>
  <si>
    <t xml:space="preserve">M7W3</t>
  </si>
  <si>
    <t xml:space="preserve">周环比</t>
  </si>
  <si>
    <t xml:space="preserve">1. vs时间进度67.74%
· 运单量：落后51.6pp（缺口0.713万单，完成16.1%）
· 老(留存)：超前57.2pp（超前0.081万单，完成124.9%）
· 新(新增)：落后64.0pp（缺口0.794万单，完成3.7%）
</t>
  </si>
  <si>
    <t xml:space="preserve">1.本周查看活动首页人数141人无明显波动，CTR-0.21PP，变动原因主要为本周访问货主数较上周大幅提升，而查看活动用户数变动不大；
2.本周成交运单数1068，周环比提升77.7%，主要增长来源于【重庆鑫铭烨新能源科技有限公司】，历史累计签收运单2003单，本周签收564单；
3.本周活动页面浏览人数901人，较上周-5.56%，CTR降低1.41pp，但报名人数增长33人；
4.本周成交运单量：6517，较上周环比增长145.74%，随着曝光人数的增长，报名人数相应增长，活动单量逐步提升；</t>
  </si>
  <si>
    <t xml:space="preserve">1.跟进司推货视觉设计与研发进度，申请司机端资源位;
2.规划触达人群看板，按计划推送触达消息；
3.更新阶梯活动资源位视觉
4.针对报名但未发单的货主，进行电销触达</t>
  </si>
  <si>
    <t xml:space="preserve">①裂变 招募</t>
  </si>
  <si>
    <t xml:space="preserve">留存</t>
  </si>
  <si>
    <t xml:space="preserve">发货货主数</t>
  </si>
  <si>
    <t xml:space="preserve">成交货主数</t>
  </si>
  <si>
    <t xml:space="preserve">成交运单数</t>
  </si>
  <si>
    <t xml:space="preserve">--货主成交率</t>
  </si>
  <si>
    <t xml:space="preserve">--单货主成交运单数</t>
  </si>
  <si>
    <t xml:space="preserve">新增</t>
  </si>
  <si>
    <t xml:space="preserve">注册货主数</t>
  </si>
  <si>
    <t xml:space="preserve">认证货主数</t>
  </si>
  <si>
    <t xml:space="preserve">新增转介绍 发货货主数（家）</t>
  </si>
  <si>
    <t xml:space="preserve">成交运单数（万单）</t>
  </si>
  <si>
    <t xml:space="preserve">②电销触达（万单）</t>
  </si>
  <si>
    <t xml:space="preserve">1. vs时间进度67.74%
· 运单量：落后8.6pp（缺口0.343万单，完成59.1%）
· 老(留存)：超前21.7pp（超前0.549万单，完成89.4%）
· 新(新增)：落后61.8pp（缺口0.892万单，完成5.9%）
观察：撮合接近达标是主要支撑；TMS明显拖累。</t>
  </si>
  <si>
    <t xml:space="preserve">1.T+3小结单：基于小结单备注内容，对于潜在价值客户和存疑客户进行复播跟进（覆盖272，核实无效数据 262，新增10条数据）；
2.发货未首履的复拨跟进：接通中货主不愿意给货原因为平台履约能力差，占比54%。</t>
  </si>
  <si>
    <t xml:space="preserve">1.提高转化阶段的协同跟进，针对区域协同转化的跟进制度，每日9-9：30进行流转客户的跟进反馈提醒；
2.看板客户数据达成进度反馈给销售，进及时跟进行跟进；
3.针对新客户增加和调度侧的联动，拆分货源核实和找车环节，提升调度效率和客户的找车成功率；
3.测试东信线路的接通率，改善接通率低的问题</t>
  </si>
  <si>
    <t xml:space="preserve">注册货主数（家）</t>
  </si>
  <si>
    <t xml:space="preserve">认证货主数（家）</t>
  </si>
  <si>
    <t xml:space="preserve">新增 发货货主数（家）</t>
  </si>
  <si>
    <t xml:space="preserve">成交运单量（万单）</t>
  </si>
  <si>
    <t xml:space="preserve">--注册 转 认证 转化率</t>
  </si>
  <si>
    <t xml:space="preserve">--认证 转 发货 转化率</t>
  </si>
  <si>
    <t xml:space="preserve">③ 端外线上流量转化（万单）</t>
  </si>
  <si>
    <t xml:space="preserve">1. vs时间进度67.74%
· 运单量：落后19.1pp（缺口2.281万单，完成48.6%）
· 老(留存)：落后2.8pp（缺口0.224万单，完成64.9%）
· 新(新增)：落后49.4pp（缺口2.057万单，完成18.3%）
</t>
  </si>
  <si>
    <t xml:space="preserve">1.7月8日问题修复后，经过两周跑量，发货货主量逐步回升，成本逐步下降；
2.本周信息流新素材新账户注册出价增量明显，注册相比上周增长65.57%，有效补充了注册量；
3.百度SEM投放上持续提价放量以追回月初受影响的落后量，目前出价提升7%（出价从96.35☞106.35，已稳定在这一出价范围），第三周整体注册量环比增长24%；
4.投放客户调研，本周有效样本积累20个，需要持续增加；
5.高德投放与供应商沟通完毕，本周完成投放策略的制定；
6.ASO-易达宝货主：
本周累计消耗835元，优化关键词包含行业词、需求词、功能词等其中“货车平台”、“找货车”、“货主”这3个核心词自然位目前都提升至Top1；
</t>
  </si>
  <si>
    <t xml:space="preserve">1.百度搜索：
双出价账户问题排查：之前出价形式用了AImax，导致流量不精准；
现阶段采用常规双出价，把老账户关键词同步到双出价账户进行测试；
2.字节信息流：
易达宝货主-脚本7月第3周产出；
3.发货出价提量；
百度信息流上线测试；
新落地页内容产出，同步给设计；
4.新出价形式探索：
关键行为出价：把企业认证传到关键行为；
用户纬度的首次发货：现阶段传的是企业纬度首次发货；
5.ASO本周计划新增运输、物流运输等高热度关键词操作，少量多词进行测试计划内关键词有无锁榜情况，叠加权重判断可快速提升排名关键词；
6.推进华为应用市场、App Store-asa，华为ads、vivo代理商招采进度，收集标书准备开标</t>
  </si>
  <si>
    <t xml:space="preserve">曝光量（次）</t>
  </si>
  <si>
    <t xml:space="preserve">点击量（次）</t>
  </si>
  <si>
    <t xml:space="preserve">注册货主数（账号）</t>
  </si>
  <si>
    <t xml:space="preserve">--点击率</t>
  </si>
  <si>
    <t xml:space="preserve">--点击 转 注册率</t>
  </si>
  <si>
    <t xml:space="preserve">④调度触达（万单）</t>
  </si>
  <si>
    <t xml:space="preserve">1. vs时间进度67.74%
· 运单量：落后17.4pp（缺口0.895万单，完成50.3%）
· 撮合：落后54.9pp（缺口0.511万单，完成12.8%）
· TMS：超前6.2pp（超前0.159万单，完成73.9%）
· 网货：落后34.4pp（缺口0.578万单，完成33.3%）
</t>
  </si>
  <si>
    <t xml:space="preserve">1-撮合</t>
  </si>
  <si>
    <t xml:space="preserve">注册三方调度人数</t>
  </si>
  <si>
    <t xml:space="preserve">认证三方调度人数</t>
  </si>
  <si>
    <t xml:space="preserve">三方调度人数</t>
  </si>
  <si>
    <t xml:space="preserve">--调度人效</t>
  </si>
  <si>
    <t xml:space="preserve">--认证转化率</t>
  </si>
  <si>
    <t xml:space="preserve">--注册转认证率</t>
  </si>
  <si>
    <t xml:space="preserve">2-TMS</t>
  </si>
  <si>
    <t xml:space="preserve">创建运单（计划单）货主数</t>
  </si>
  <si>
    <t xml:space="preserve">--成交/创建</t>
  </si>
  <si>
    <t xml:space="preserve">3-网货</t>
  </si>
  <si>
    <t xml:space="preserve">发货货主数（家）</t>
  </si>
  <si>
    <t xml:space="preserve">KPI
 （时间进度:67.74%）</t>
  </si>
  <si>
    <t xml:space="preserve">7月(时间进度67.74%）</t>
  </si>
  <si>
    <t xml:space="preserve">周度数据</t>
  </si>
  <si>
    <t xml:space="preserve">目标</t>
  </si>
  <si>
    <t xml:space="preserve">实际达成</t>
  </si>
  <si>
    <t xml:space="preserve">完成率</t>
  </si>
  <si>
    <t xml:space="preserve">M7W1</t>
  </si>
  <si>
    <t xml:space="preserve">M7W2</t>
  </si>
  <si>
    <t xml:space="preserve">M7W3</t>
  </si>
  <si>
    <t xml:space="preserve">周环比</t>
  </si>
  <si>
    <t xml:space="preserve">趋势</t>
  </si>
  <si>
    <t xml:space="preserve">裂变 招募</t>
  </si>
  <si>
    <t xml:space="preserve">TMS运单</t>
  </si>
  <si>
    <t xml:space="preserve">撮合不开票运单</t>
  </si>
  <si>
    <t xml:space="preserve">开票-网货运单</t>
  </si>
  <si>
    <t xml:space="preserve">电销触达</t>
  </si>
  <si>
    <t xml:space="preserve"> 端外线上流量转化
</t>
  </si>
  <si>
    <t xml:space="preserve">调度</t>
  </si>
  <si>
    <t xml:space="preserve">KPI
 （时间进度:45.16%）</t>
  </si>
  <si>
    <t xml:space="preserve">7月(时间进度67.74%）</t>
  </si>
  <si>
    <t xml:space="preserve">目标</t>
  </si>
  <si>
    <t xml:space="preserve">实际达成</t>
  </si>
  <si>
    <t xml:space="preserve">完成率</t>
  </si>
  <si>
    <t xml:space="preserve">M7W1</t>
  </si>
  <si>
    <t xml:space="preserve">M7W2</t>
  </si>
  <si>
    <t xml:space="preserve">M7W3</t>
  </si>
  <si>
    <t xml:space="preserve">周环比</t>
  </si>
  <si>
    <t xml:space="preserve">线上合计发货货主数</t>
  </si>
  <si>
    <t xml:space="preserve">线上合计成交运单数</t>
  </si>
  <si>
    <t xml:space="preserve">开票-网货运单</t>
  </si>
  <si>
    <t xml:space="preserve">撮合不开票运单</t>
  </si>
  <si>
    <t xml:space="preserve">TMS运单</t>
  </si>
  <si>
    <t xml:space="preserve">开票-网货运单占比</t>
  </si>
  <si>
    <t xml:space="preserve">/</t>
  </si>
  <si>
    <t xml:space="preserve">-11.7pp</t>
  </si>
  <si>
    <t xml:space="preserve">撮合不开票运单占比</t>
  </si>
  <si>
    <t xml:space="preserve">+4.4pp</t>
  </si>
  <si>
    <t xml:space="preserve">TMS运单占比</t>
  </si>
  <si>
    <t xml:space="preserve">+7.3pp</t>
  </si>
  <si>
    <t xml:space="preserve">线上成交运单数%</t>
  </si>
  <si>
    <t xml:space="preserve">+0.1pp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</si>
</sst>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0"/>
    <numFmt numFmtId="165" formatCode="0%"/>
    <numFmt numFmtId="166" formatCode="0.00%"/>
    <numFmt numFmtId="167" formatCode="#,##0.00"/>
    <numFmt numFmtId="168" formatCode="0.00%"/>
    <numFmt numFmtId="169" formatCode="#,##0"/>
    <numFmt numFmtId="170" formatCode="0%"/>
    <numFmt numFmtId="171" formatCode="0.0%"/>
    <numFmt numFmtId="172" formatCode="0.00%"/>
    <numFmt numFmtId="173" formatCode="0"/>
    <numFmt numFmtId="174" formatCode="#,##0"/>
    <numFmt numFmtId="175" formatCode="#,##0.00"/>
    <numFmt numFmtId="176" formatCode="0%"/>
    <numFmt numFmtId="177" formatCode="0.00"/>
    <numFmt numFmtId="178" formatCode="#,##0.00"/>
    <numFmt numFmtId="179" formatCode="0.0%"/>
    <numFmt numFmtId="180" formatCode="0_ "/>
    <numFmt numFmtId="181" formatCode="#,##0"/>
    <numFmt numFmtId="182" formatCode="0.00%"/>
    <numFmt numFmtId="183" formatCode="#,##0_ "/>
    <numFmt numFmtId="184" formatCode="0%"/>
  </numFmts>
  <fonts count="37">
    <font>
      <sz val="12"/>
      <color theme="1"/>
      <name val="Calibri"/>
      <family val="2"/>
      <scheme val="minor"/>
    </font>
    <font>
      <b val="true"/>
      <sz val="14"/>
      <color rgb="FF000000"/>
      <name val="宋体-简"/>
      <family val="2"/>
    </font>
    <font>
      <sz val="11"/>
      <color rgb="FF000000"/>
      <name val="宋体-简"/>
      <family val="2"/>
    </font>
    <font>
      <sz val="11"/>
      <color rgb="FF333333"/>
      <name val="等线"/>
      <family val="2"/>
    </font>
    <font>
      <sz val="11"/>
      <color rgb="FF333333"/>
      <name val="宋体-简"/>
      <family val="2"/>
    </font>
    <font>
      <sz val="10"/>
      <color rgb="FF000000"/>
      <name val="Calibri"/>
      <family val="2"/>
      <scheme val="minor"/>
    </font>
    <font>
      <sz val="10"/>
      <color rgb="FF000000"/>
      <name val="宋体-简"/>
      <family val="2"/>
    </font>
    <font>
      <sz val="12"/>
      <color rgb="FF000000"/>
      <name val="宋体-简"/>
      <family val="2"/>
    </font>
    <font>
      <sz val="10"/>
      <color rgb="FF333333"/>
      <name val="等线"/>
      <family val="2"/>
    </font>
    <font>
      <sz val="10"/>
      <color rgb="FF373C4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宋体"/>
      <family val="2"/>
    </font>
    <font>
      <sz val="11"/>
      <color rgb="FF000000"/>
      <name val="等线"/>
      <family val="2"/>
    </font>
    <font>
      <sz val="10"/>
      <color rgb="FF000000"/>
      <name val="等线"/>
      <family val="2"/>
    </font>
    <font>
      <sz val="9"/>
      <color rgb="FF000000"/>
      <name val="Calibri"/>
      <family val="2"/>
      <scheme val="minor"/>
    </font>
    <font>
      <sz val="10"/>
      <color rgb="FF000000"/>
      <name val="宋体"/>
      <family val="2"/>
    </font>
    <font>
      <b val="true"/>
      <sz val="10"/>
      <color rgb="FF000000"/>
      <name val="宋体"/>
      <family val="2"/>
    </font>
    <font>
      <b val="true"/>
      <sz val="11"/>
      <color rgb="FF000000"/>
      <name val="宋体"/>
      <family val="2"/>
    </font>
    <font>
      <b val="true"/>
      <sz val="9"/>
      <color rgb="FF000000"/>
      <name val="宋体"/>
      <family val="2"/>
    </font>
    <font>
      <b val="true"/>
      <sz val="10"/>
      <color rgb="FF000000"/>
      <name val="等线"/>
      <family val="2"/>
    </font>
    <font>
      <sz val="10"/>
      <color rgb="FF7F7F7F"/>
      <name val="宋体"/>
      <family val="2"/>
    </font>
    <font>
      <sz val="10"/>
      <color rgb="FF373C43"/>
      <name val="宋体"/>
      <family val="2"/>
    </font>
    <font>
      <sz val="10"/>
      <color rgb="FFF54A45"/>
      <name val="宋体"/>
      <family val="2"/>
    </font>
    <font>
      <sz val="10"/>
      <color rgb="FF34C724"/>
      <name val="宋体"/>
      <family val="2"/>
    </font>
    <font>
      <sz val="10"/>
      <color rgb="FF939393"/>
      <name val="宋体"/>
      <family val="2"/>
    </font>
    <font>
      <b val="true"/>
      <sz val="10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10"/>
      <color rgb="FF333333"/>
      <name val="Calibri"/>
      <family val="2"/>
      <scheme val="minor"/>
    </font>
    <font>
      <b val="true"/>
      <sz val="10"/>
      <color rgb="FF319B62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B050"/>
      <name val="Calibri"/>
      <family val="2"/>
      <scheme val="minor"/>
    </font>
    <font>
      <i val="true"/>
      <sz val="10"/>
      <color rgb="FF000000"/>
      <name val="Calibri"/>
      <family val="2"/>
      <scheme val="minor"/>
    </font>
    <font>
      <i val="true"/>
      <sz val="11"/>
      <color rgb="FF333333"/>
      <name val="Calibri"/>
      <family val="2"/>
      <scheme val="minor"/>
    </font>
    <font>
      <i val="true"/>
      <sz val="11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5EFFF"/>
        <bgColor/>
      </patternFill>
    </fill>
    <fill>
      <patternFill patternType="solid">
        <fgColor rgb="FFC7ECFF"/>
        <bgColor/>
      </patternFill>
    </fill>
    <fill>
      <patternFill patternType="solid">
        <fgColor rgb="FFEAFAF1"/>
        <bgColor/>
      </patternFill>
    </fill>
    <fill>
      <patternFill patternType="solid">
        <fgColor rgb="FFFFF9E3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FF9E3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FF9E3"/>
        <bgColor/>
      </patternFill>
    </fill>
    <fill>
      <patternFill patternType="solid">
        <fgColor rgb="FFC3EAD5"/>
        <bgColor/>
      </patternFill>
    </fill>
  </fills>
  <borders count="2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ck">
        <color rgb="FF1F2329"/>
      </bottom>
      <diagonal/>
    </border>
    <border>
      <left/>
      <right/>
      <top style="medium">
        <color rgb="FFCBCDD1"/>
      </top>
      <bottom/>
      <diagonal/>
    </border>
    <border>
      <left/>
      <right/>
      <top style="medium">
        <color rgb="FFCBCDD1"/>
      </top>
      <bottom style="thick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ck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ck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ck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ck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bottom" wrapText="true"/>
    </xf>
    <xf applyAlignment="true" applyBorder="false" applyFill="false" applyFont="true" applyNumberFormat="false" applyProtection="false" borderId="1" fillId="0" fontId="2" numFmtId="0" xfId="0">
      <alignment horizontal="left" vertical="bottom" wrapText="true"/>
    </xf>
    <xf applyAlignment="true" applyBorder="false" applyFill="false" applyFont="true" applyNumberFormat="false" applyProtection="false" borderId="1" fillId="0" fontId="2" numFmtId="0" xfId="0">
      <alignment horizontal="left" vertical="bottom" wrapText="true"/>
    </xf>
    <xf applyAlignment="true" applyBorder="false" applyFill="false" applyFont="true" applyNumberFormat="true" applyProtection="false" borderId="1" fillId="0" fontId="3" numFmtId="164" xfId="0">
      <alignment horizontal="left" vertical="bottom" wrapText="true"/>
    </xf>
    <xf applyAlignment="true" applyBorder="false" applyFill="false" applyFont="true" applyNumberFormat="false" applyProtection="false" borderId="0" fillId="0" fontId="2" numFmtId="0" xfId="0">
      <alignment horizontal="left" vertical="bottom" wrapText="true"/>
    </xf>
    <xf applyAlignment="true" applyBorder="false" applyFill="false" applyFont="true" applyNumberFormat="false" applyProtection="false" borderId="0" fillId="0" fontId="3" numFmtId="0" xfId="0">
      <alignment horizontal="left" vertical="bottom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true" applyProtection="false" borderId="0" fillId="0" fontId="3" numFmtId="164" xfId="0">
      <alignment horizontal="left" vertical="center" wrapText="true"/>
    </xf>
    <xf applyAlignment="true" applyBorder="false" applyFill="false" applyFont="true" applyNumberFormat="true" applyProtection="false" borderId="0" fillId="0" fontId="3" numFmtId="164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bottom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false" applyFont="true" applyNumberFormat="true" applyProtection="false" borderId="0" fillId="0" fontId="6" numFmtId="165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bottom" wrapText="true"/>
    </xf>
    <xf applyAlignment="true" applyBorder="false" applyFill="false" applyFont="true" applyNumberFormat="false" applyProtection="false" borderId="2" fillId="0" fontId="2" numFmtId="0" xfId="0">
      <alignment horizontal="center" vertical="bottom" wrapText="true"/>
    </xf>
    <xf applyAlignment="true" applyBorder="false" applyFill="false" applyFont="true" applyNumberFormat="false" applyProtection="false" borderId="2" fillId="0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6" numFmtId="0" xfId="0">
      <alignment horizontal="center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horizontal="left" vertical="center"/>
    </xf>
    <xf applyAlignment="true" applyBorder="false" applyFill="false" applyFont="true" applyNumberFormat="true" applyProtection="false" borderId="2" fillId="0" fontId="3" numFmtId="164" xfId="0">
      <alignment horizontal="left" vertical="center" wrapText="true"/>
    </xf>
    <xf applyAlignment="true" applyBorder="false" applyFill="true" applyFont="true" applyNumberFormat="false" applyProtection="false" borderId="0" fillId="2" fontId="7" numFmtId="0" xfId="0">
      <alignment horizontal="left" vertical="bottom" wrapText="true"/>
    </xf>
    <xf applyAlignment="true" applyBorder="false" applyFill="false" applyFont="true" applyNumberFormat="true" applyProtection="false" borderId="3" fillId="0" fontId="3" numFmtId="164" xfId="0">
      <alignment horizontal="left" vertical="center" wrapText="true"/>
    </xf>
    <xf applyAlignment="true" applyBorder="false" applyFill="false" applyFont="true" applyNumberFormat="true" applyProtection="false" borderId="3" fillId="0" fontId="8" numFmtId="164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true" applyProtection="false" borderId="0" fillId="0" fontId="2" numFmtId="165" xfId="0">
      <alignment horizontal="left" vertical="center" wrapText="true"/>
    </xf>
    <xf applyAlignment="true" applyBorder="false" applyFill="false" applyFont="true" applyNumberFormat="true" applyProtection="false" borderId="3" fillId="0" fontId="3" numFmtId="164" xfId="0">
      <alignment horizontal="left" vertical="center" wrapText="true"/>
    </xf>
    <xf applyAlignment="true" applyBorder="false" applyFill="false" applyFont="true" applyNumberFormat="true" applyProtection="false" borderId="3" fillId="0" fontId="8" numFmtId="164" xfId="0">
      <alignment horizontal="left" vertical="center" wrapText="true"/>
    </xf>
    <xf applyAlignment="true" applyBorder="false" applyFill="false" applyFont="true" applyNumberFormat="true" applyProtection="false" borderId="0" fillId="0" fontId="2" numFmtId="165" xfId="0">
      <alignment horizontal="left" vertical="bottom" wrapText="true"/>
    </xf>
    <xf applyAlignment="true" applyBorder="false" applyFill="false" applyFont="true" applyNumberFormat="true" applyProtection="false" borderId="0" fillId="0" fontId="5" numFmtId="165" xfId="0">
      <alignment horizontal="left" vertical="center"/>
    </xf>
    <xf applyAlignment="true" applyBorder="false" applyFill="false" applyFont="true" applyNumberFormat="true" applyProtection="false" borderId="2" fillId="0" fontId="2" numFmtId="165" xfId="0">
      <alignment horizontal="left" vertical="bottom" wrapText="true"/>
    </xf>
    <xf applyAlignment="true" applyBorder="false" applyFill="false" applyFont="true" applyNumberFormat="true" applyProtection="false" borderId="2" fillId="0" fontId="5" numFmtId="165" xfId="0">
      <alignment horizontal="left" vertical="center"/>
    </xf>
    <xf applyAlignment="true" applyBorder="false" applyFill="false" applyFont="true" applyNumberFormat="true" applyProtection="false" borderId="4" fillId="0" fontId="3" numFmtId="164" xfId="0">
      <alignment horizontal="left" vertical="center" wrapText="true"/>
    </xf>
    <xf applyAlignment="true" applyBorder="false" applyFill="false" applyFont="true" applyNumberFormat="true" applyProtection="false" borderId="4" fillId="0" fontId="8" numFmtId="164" xfId="0">
      <alignment horizontal="left" vertical="center" wrapText="true"/>
    </xf>
    <xf applyAlignment="true" applyBorder="false" applyFill="true" applyFont="true" applyNumberFormat="false" applyProtection="false" borderId="0" fillId="3" fontId="7" numFmtId="0" xfId="0">
      <alignment horizontal="left" vertical="bottom" wrapText="true"/>
    </xf>
    <xf applyAlignment="true" applyBorder="false" applyFill="false" applyFont="true" applyNumberFormat="true" applyProtection="false" borderId="0" fillId="0" fontId="8" numFmtId="164" xfId="0">
      <alignment horizontal="left" vertical="center" wrapText="true"/>
    </xf>
    <xf applyAlignment="true" applyBorder="false" applyFill="false" applyFont="true" applyNumberFormat="true" applyProtection="false" borderId="0" fillId="0" fontId="9" numFmtId="164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bottom" wrapText="true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true" applyProtection="false" borderId="0" fillId="0" fontId="6" numFmtId="165" xfId="0">
      <alignment horizontal="left" vertical="center" wrapText="true"/>
    </xf>
    <xf applyAlignment="true" applyBorder="false" applyFill="false" applyFont="true" applyNumberFormat="true" applyProtection="false" borderId="0" fillId="0" fontId="8" numFmtId="164" xfId="0">
      <alignment horizontal="left" vertical="center" wrapText="true"/>
    </xf>
    <xf applyAlignment="true" applyBorder="false" applyFill="false" applyFont="true" applyNumberFormat="true" applyProtection="false" borderId="0" fillId="0" fontId="6" numFmtId="166" xfId="0">
      <alignment horizontal="left" vertical="center" wrapText="true"/>
    </xf>
    <xf applyAlignment="true" applyBorder="false" applyFill="true" applyFont="true" applyNumberFormat="false" applyProtection="false" borderId="0" fillId="4" fontId="7" numFmtId="0" xfId="0">
      <alignment horizontal="left" vertical="bottom" wrapText="true"/>
    </xf>
    <xf applyAlignment="true" applyBorder="false" applyFill="false" applyFont="true" applyNumberFormat="false" applyProtection="false" borderId="0" fillId="0" fontId="9" numFmtId="0" xfId="0">
      <alignment horizontal="left" vertical="center" wrapText="true"/>
    </xf>
    <xf applyAlignment="true" applyBorder="false" applyFill="false" applyFont="true" applyNumberFormat="false" applyProtection="false" borderId="0" fillId="0" fontId="9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/>
    </xf>
    <xf applyAlignment="true" applyBorder="false" applyFill="false" applyFont="true" applyNumberFormat="true" applyProtection="false" borderId="0" fillId="0" fontId="3" numFmtId="165" xfId="0">
      <alignment horizontal="left" vertical="center" wrapText="true"/>
    </xf>
    <xf applyAlignment="true" applyBorder="false" applyFill="false" applyFont="true" applyNumberFormat="true" applyProtection="false" borderId="2" fillId="0" fontId="2" numFmtId="165" xfId="0">
      <alignment horizontal="left" vertical="bottom" wrapText="true"/>
    </xf>
    <xf applyAlignment="true" applyBorder="false" applyFill="false" applyFont="true" applyNumberFormat="false" applyProtection="false" borderId="2" fillId="0" fontId="3" numFmtId="0" xfId="0">
      <alignment horizontal="left" vertical="center" wrapText="true"/>
    </xf>
    <xf applyAlignment="true" applyBorder="false" applyFill="false" applyFont="true" applyNumberFormat="false" applyProtection="false" borderId="2" fillId="0" fontId="9" numFmtId="0" xfId="0">
      <alignment horizontal="left" vertical="center" wrapText="true"/>
    </xf>
    <xf applyAlignment="true" applyBorder="false" applyFill="true" applyFont="true" applyNumberFormat="false" applyProtection="false" borderId="0" fillId="5" fontId="7" numFmtId="0" xfId="0">
      <alignment horizontal="left" vertical="bottom" wrapText="true"/>
    </xf>
    <xf applyAlignment="true" applyBorder="false" applyFill="false" applyFont="true" applyNumberFormat="false" applyProtection="false" borderId="0" fillId="0" fontId="10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horizontal="left" vertical="center" wrapText="true"/>
    </xf>
    <xf applyAlignment="true" applyBorder="false" applyFill="false" applyFont="true" applyNumberFormat="false" applyProtection="false" borderId="2" fillId="0" fontId="6" numFmtId="0" xfId="0">
      <alignment horizontal="left" vertical="center" wrapText="true"/>
    </xf>
    <xf applyAlignment="true" applyBorder="false" applyFill="false" applyFont="true" applyNumberFormat="true" applyProtection="false" borderId="2" fillId="0" fontId="6" numFmtId="165" xfId="0">
      <alignment horizontal="left" vertical="center" wrapText="true"/>
    </xf>
    <xf applyAlignment="true" applyBorder="false" applyFill="false" applyFont="true" applyNumberFormat="false" applyProtection="false" borderId="2" fillId="0" fontId="9" numFmtId="0" xfId="0">
      <alignment horizontal="left" vertical="center"/>
    </xf>
    <xf applyAlignment="true" applyBorder="false" applyFill="false" applyFont="true" applyNumberFormat="false" applyProtection="false" borderId="0" fillId="0" fontId="9" numFmtId="0" xfId="0">
      <alignment horizontal="left" vertical="center"/>
    </xf>
    <xf applyAlignment="true" applyBorder="false" applyFill="false" applyFont="true" applyNumberFormat="true" applyProtection="false" borderId="2" fillId="0" fontId="3" numFmtId="165" xfId="0">
      <alignment horizontal="left" vertical="center" wrapText="true"/>
    </xf>
    <xf applyAlignment="true" applyBorder="false" applyFill="false" applyFont="true" applyNumberFormat="true" applyProtection="false" borderId="2" fillId="0" fontId="3" numFmtId="165" xfId="0">
      <alignment horizontal="left" vertical="center" wrapText="true"/>
    </xf>
    <xf applyAlignment="true" applyBorder="false" applyFill="false" applyFont="true" applyNumberFormat="false" applyProtection="false" borderId="2" fillId="0" fontId="5" numFmtId="0" xfId="0">
      <alignment horizontal="left" vertical="center"/>
    </xf>
    <xf applyAlignment="true" applyBorder="false" applyFill="false" applyFont="true" applyNumberFormat="true" applyProtection="false" borderId="2" fillId="0" fontId="5" numFmtId="165" xfId="0">
      <alignment horizontal="left" vertical="center"/>
    </xf>
    <xf applyAlignment="true" applyBorder="false" applyFill="false" applyFont="true" applyNumberFormat="false" applyProtection="false" borderId="2" fillId="0" fontId="9" numFmtId="0" xfId="0">
      <alignment horizontal="left"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0" fillId="6" fontId="11" numFmtId="0" xfId="0">
      <alignment vertical="center"/>
    </xf>
    <xf applyAlignment="true" applyBorder="false" applyFill="true" applyFont="true" applyNumberFormat="false" applyProtection="false" borderId="0" fillId="6" fontId="11" numFmtId="0" xfId="0">
      <alignment horizontal="center" vertical="center"/>
    </xf>
    <xf applyAlignment="true" applyBorder="false" applyFill="true" applyFont="true" applyNumberFormat="true" applyProtection="false" borderId="0" fillId="6" fontId="11" numFmtId="167" xfId="0">
      <alignment horizontal="center" vertical="center"/>
    </xf>
    <xf applyAlignment="true" applyBorder="false" applyFill="true" applyFont="true" applyNumberFormat="true" applyProtection="false" borderId="0" fillId="6" fontId="11" numFmtId="168" xfId="0">
      <alignment horizontal="center" vertical="center"/>
    </xf>
    <xf applyAlignment="true" applyBorder="false" applyFill="true" applyFont="true" applyNumberFormat="false" applyProtection="false" borderId="0" fillId="6" fontId="11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horizontal="left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true" applyProtection="false" borderId="0" fillId="0" fontId="11" numFmtId="167" xfId="0">
      <alignment horizontal="center" vertical="center"/>
    </xf>
    <xf applyAlignment="true" applyBorder="false" applyFill="false" applyFont="true" applyNumberFormat="true" applyProtection="false" borderId="0" fillId="0" fontId="11" numFmtId="168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 wrapText="true"/>
    </xf>
    <xf applyAlignment="true" applyBorder="false" applyFill="true" applyFont="true" applyNumberFormat="false" applyProtection="false" borderId="0" fillId="7" fontId="11" numFmtId="0" xfId="0">
      <alignment vertical="center"/>
    </xf>
    <xf applyAlignment="true" applyBorder="false" applyFill="false" applyFont="true" applyNumberFormat="true" applyProtection="false" borderId="0" fillId="0" fontId="11" numFmtId="167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vertical="center" wrapText="true"/>
    </xf>
    <xf applyAlignment="true" applyBorder="false" applyFill="false" applyFont="true" applyNumberFormat="true" applyProtection="false" borderId="0" fillId="0" fontId="5" numFmtId="167" xfId="0">
      <alignment horizontal="center" vertical="center"/>
    </xf>
    <xf applyAlignment="true" applyBorder="false" applyFill="false" applyFont="true" applyNumberFormat="true" applyProtection="false" borderId="0" fillId="0" fontId="13" numFmtId="167" xfId="0">
      <alignment horizontal="center" vertical="center"/>
    </xf>
    <xf applyAlignment="true" applyBorder="false" applyFill="true" applyFont="true" applyNumberFormat="false" applyProtection="false" borderId="0" fillId="6" fontId="11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false" applyFont="true" applyNumberFormat="true" applyProtection="false" borderId="0" fillId="0" fontId="11" numFmtId="16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true" applyFont="true" applyNumberFormat="false" applyProtection="false" borderId="0" fillId="6" fontId="2" numFmtId="0" xfId="0">
      <alignment horizontal="left" vertical="center" wrapText="true"/>
    </xf>
    <xf applyAlignment="true" applyBorder="false" applyFill="true" applyFont="true" applyNumberFormat="false" applyProtection="false" borderId="0" fillId="6" fontId="2" numFmtId="0" xfId="0">
      <alignment horizontal="left" vertical="center" wrapText="true"/>
    </xf>
    <xf applyAlignment="true" applyBorder="false" applyFill="true" applyFont="true" applyNumberFormat="false" applyProtection="false" borderId="0" fillId="6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true" applyProtection="false" borderId="0" fillId="0" fontId="2" numFmtId="170" xfId="0">
      <alignment horizontal="center" vertical="center" wrapText="true"/>
    </xf>
    <xf applyAlignment="true" applyBorder="false" applyFill="false" applyFont="true" applyNumberFormat="true" applyProtection="false" borderId="0" fillId="0" fontId="14" numFmtId="168" xfId="0">
      <alignment horizontal="center" vertical="center" wrapText="true"/>
    </xf>
    <xf applyAlignment="true" applyBorder="false" applyFill="false" applyFont="true" applyNumberFormat="true" applyProtection="false" borderId="0" fillId="0" fontId="14" numFmtId="17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center" wrapText="true"/>
    </xf>
    <xf applyAlignment="true" applyBorder="false" applyFill="true" applyFont="true" applyNumberFormat="false" applyProtection="false" borderId="0" fillId="6" fontId="11" numFmtId="0" xfId="0">
      <alignment horizontal="center" vertical="center"/>
    </xf>
    <xf applyAlignment="true" applyBorder="false" applyFill="false" applyFont="true" applyNumberFormat="true" applyProtection="false" borderId="0" fillId="0" fontId="11" numFmtId="171" xfId="0">
      <alignment horizontal="center" vertical="center"/>
    </xf>
    <xf applyAlignment="true" applyBorder="false" applyFill="false" applyFont="true" applyNumberFormat="true" applyProtection="false" borderId="0" fillId="0" fontId="11" numFmtId="171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true" applyFont="true" applyNumberFormat="false" applyProtection="false" borderId="0" fillId="8" fontId="15" numFmtId="0" xfId="0">
      <alignment vertical="center"/>
    </xf>
    <xf applyAlignment="true" applyBorder="false" applyFill="true" applyFont="true" applyNumberFormat="false" applyProtection="false" borderId="5" fillId="8" fontId="16" numFmtId="0" xfId="0">
      <alignment horizontal="center" vertical="center"/>
    </xf>
    <xf applyAlignment="true" applyBorder="false" applyFill="true" applyFont="true" applyNumberFormat="false" applyProtection="false" borderId="5" fillId="9" fontId="16" numFmtId="0" xfId="0">
      <alignment horizontal="center" vertical="center"/>
    </xf>
    <xf applyAlignment="true" applyBorder="false" applyFill="true" applyFont="true" applyNumberFormat="false" applyProtection="false" borderId="0" fillId="9" fontId="15" numFmtId="0" xfId="0">
      <alignment vertical="center"/>
    </xf>
    <xf applyAlignment="true" applyBorder="false" applyFill="false" applyFont="true" applyNumberFormat="false" applyProtection="false" borderId="0" fillId="0" fontId="11" numFmtId="0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 wrapText="true"/>
    </xf>
    <xf applyAlignment="true" applyBorder="false" applyFill="true" applyFont="true" applyNumberFormat="false" applyProtection="false" borderId="6" fillId="8" fontId="15" numFmtId="0" xfId="0">
      <alignment horizontal="right" vertical="center"/>
    </xf>
    <xf applyAlignment="true" applyBorder="false" applyFill="true" applyFont="true" applyNumberFormat="false" applyProtection="false" borderId="6" fillId="8" fontId="18" numFmtId="0" xfId="0">
      <alignment horizontal="right" vertical="center"/>
    </xf>
    <xf applyAlignment="true" applyBorder="false" applyFill="true" applyFont="true" applyNumberFormat="false" applyProtection="false" borderId="6" fillId="9" fontId="18" numFmtId="0" xfId="0">
      <alignment horizontal="right" vertical="center"/>
    </xf>
    <xf applyAlignment="true" applyBorder="false" applyFill="false" applyFont="true" applyNumberFormat="false" applyProtection="false" borderId="0" fillId="0" fontId="11" numFmtId="0" xfId="0">
      <alignment vertical="top" wrapText="true"/>
    </xf>
    <xf applyAlignment="true" applyBorder="false" applyFill="true" applyFont="true" applyNumberFormat="false" applyProtection="false" borderId="6" fillId="9" fontId="15" numFmtId="0" xfId="0">
      <alignment horizontal="left" vertical="center"/>
    </xf>
    <xf applyAlignment="true" applyBorder="false" applyFill="true" applyFont="true" applyNumberFormat="false" applyProtection="false" borderId="6" fillId="9" fontId="15" numFmtId="0" xfId="0">
      <alignment horizontal="right" vertical="center"/>
    </xf>
    <xf applyAlignment="true" applyBorder="false" applyFill="true" applyFont="true" applyNumberFormat="true" applyProtection="false" borderId="6" fillId="9" fontId="15" numFmtId="172" xfId="0">
      <alignment horizontal="right" vertical="center"/>
    </xf>
    <xf applyAlignment="true" applyBorder="false" applyFill="true" applyFont="true" applyNumberFormat="true" applyProtection="false" borderId="6" fillId="9" fontId="15" numFmtId="172" xfId="0">
      <alignment horizontal="right" vertical="center"/>
    </xf>
    <xf applyAlignment="true" applyBorder="false" applyFill="false" applyFont="true" applyNumberFormat="false" applyProtection="false" borderId="0" fillId="0" fontId="11" numFmtId="0" xfId="0">
      <alignment vertical="top" wrapText="true"/>
    </xf>
    <xf applyAlignment="true" applyBorder="false" applyFill="false" applyFont="true" applyNumberFormat="false" applyProtection="false" borderId="0" fillId="0" fontId="17" numFmtId="0" xfId="0">
      <alignment vertical="center" wrapText="true"/>
    </xf>
    <xf applyAlignment="true" applyBorder="false" applyFill="false" applyFont="true" applyNumberFormat="false" applyProtection="false" borderId="6" fillId="0" fontId="19" numFmtId="0" xfId="0">
      <alignment horizontal="center" vertical="center"/>
    </xf>
    <xf applyAlignment="true" applyBorder="false" applyFill="false" applyFont="true" applyNumberFormat="false" applyProtection="false" borderId="6" fillId="0" fontId="15" numFmtId="0" xfId="0">
      <alignment horizontal="right" vertical="center"/>
    </xf>
    <xf applyAlignment="true" applyBorder="false" applyFill="false" applyFont="true" applyNumberFormat="true" applyProtection="false" borderId="6" fillId="0" fontId="15" numFmtId="172" xfId="0">
      <alignment horizontal="right" vertical="center"/>
    </xf>
    <xf applyAlignment="true" applyBorder="false" applyFill="false" applyFont="true" applyNumberFormat="false" applyProtection="false" borderId="6" fillId="0" fontId="13" numFmtId="0" xfId="0">
      <alignment horizontal="right" vertical="center"/>
    </xf>
    <xf applyAlignment="true" applyBorder="false" applyFill="false" applyFont="true" applyNumberFormat="true" applyProtection="false" borderId="6" fillId="0" fontId="15" numFmtId="172" xfId="0">
      <alignment horizontal="right" vertical="center"/>
    </xf>
    <xf applyAlignment="true" applyBorder="false" applyFill="false" applyFont="true" applyNumberFormat="false" applyProtection="false" borderId="6" fillId="0" fontId="20" numFmtId="0" xfId="0">
      <alignment horizontal="right" vertical="center"/>
    </xf>
    <xf applyAlignment="true" applyBorder="false" applyFill="false" applyFont="true" applyNumberFormat="true" applyProtection="false" borderId="6" fillId="0" fontId="15" numFmtId="173" xfId="0">
      <alignment horizontal="right" vertical="center"/>
    </xf>
    <xf applyAlignment="true" applyBorder="false" applyFill="false" applyFont="true" applyNumberFormat="true" applyProtection="false" borderId="6" fillId="0" fontId="15" numFmtId="174" xfId="0">
      <alignment horizontal="right" vertical="center"/>
    </xf>
    <xf applyAlignment="true" applyBorder="false" applyFill="false" applyFont="true" applyNumberFormat="false" applyProtection="false" borderId="6" fillId="0" fontId="15" numFmtId="0" xfId="0">
      <alignment horizontal="right" vertical="center"/>
    </xf>
    <xf applyAlignment="true" applyBorder="false" applyFill="false" applyFont="true" applyNumberFormat="false" applyProtection="false" borderId="6" fillId="0" fontId="21" numFmtId="0" xfId="0">
      <alignment horizontal="right" vertical="center"/>
    </xf>
    <xf applyAlignment="true" applyBorder="false" applyFill="false" applyFont="true" applyNumberFormat="false" applyProtection="false" borderId="6" fillId="0" fontId="15" numFmtId="0" xfId="0">
      <alignment horizontal="right" vertical="center"/>
    </xf>
    <xf applyAlignment="true" applyBorder="false" applyFill="false" applyFont="true" applyNumberFormat="false" applyProtection="false" borderId="6" fillId="0" fontId="22" numFmtId="0" xfId="0">
      <alignment horizontal="right" vertical="center"/>
    </xf>
    <xf applyAlignment="true" applyBorder="false" applyFill="false" applyFont="true" applyNumberFormat="false" applyProtection="false" borderId="0" fillId="0" fontId="11" numFmtId="0" xfId="0">
      <alignment vertical="top" wrapText="true"/>
    </xf>
    <xf applyAlignment="true" applyBorder="false" applyFill="false" applyFont="true" applyNumberFormat="false" applyProtection="false" borderId="6" fillId="0" fontId="13" numFmtId="0" xfId="0">
      <alignment horizontal="center" vertical="center"/>
    </xf>
    <xf applyAlignment="true" applyBorder="false" applyFill="false" applyFont="true" applyNumberFormat="false" applyProtection="false" borderId="0" fillId="0" fontId="11" numFmtId="0" xfId="0">
      <alignment vertical="top" wrapText="true"/>
    </xf>
    <xf applyAlignment="true" applyBorder="false" applyFill="false" applyFont="true" applyNumberFormat="false" applyProtection="false" borderId="6" fillId="0" fontId="13" numFmtId="0" xfId="0">
      <alignment horizontal="right" vertical="center"/>
    </xf>
    <xf applyAlignment="true" applyBorder="false" applyFill="false" applyFont="true" applyNumberFormat="false" applyProtection="false" borderId="6" fillId="0" fontId="23" numFmtId="0" xfId="0">
      <alignment horizontal="right" vertical="center"/>
    </xf>
    <xf applyAlignment="true" applyBorder="false" applyFill="false" applyFont="true" applyNumberFormat="false" applyProtection="false" borderId="6" fillId="0" fontId="20" numFmtId="0" xfId="0">
      <alignment horizontal="right" vertical="center"/>
    </xf>
    <xf applyAlignment="true" applyBorder="false" applyFill="false" applyFont="true" applyNumberFormat="false" applyProtection="false" borderId="6" fillId="0" fontId="24" numFmtId="0" xfId="0">
      <alignment horizontal="right" vertical="center"/>
    </xf>
    <xf applyAlignment="true" applyBorder="false" applyFill="false" applyFont="true" applyNumberFormat="false" applyProtection="false" borderId="0" fillId="0" fontId="11" numFmtId="0" xfId="0">
      <alignment vertical="top" wrapText="true"/>
    </xf>
    <xf applyAlignment="true" applyBorder="false" applyFill="false" applyFont="true" applyNumberFormat="true" applyProtection="false" borderId="6" fillId="0" fontId="15" numFmtId="175" xfId="0">
      <alignment horizontal="right" vertical="center"/>
    </xf>
    <xf applyAlignment="true" applyBorder="false" applyFill="false" applyFont="true" applyNumberFormat="true" applyProtection="false" borderId="6" fillId="0" fontId="15" numFmtId="174" xfId="0">
      <alignment horizontal="right" vertical="center"/>
    </xf>
    <xf applyAlignment="true" applyBorder="false" applyFill="false" applyFont="true" applyNumberFormat="true" applyProtection="false" borderId="6" fillId="0" fontId="15" numFmtId="176" xfId="0">
      <alignment horizontal="right" vertical="center"/>
    </xf>
    <xf applyAlignment="true" applyBorder="false" applyFill="true" applyFont="true" applyNumberFormat="false" applyProtection="false" borderId="6" fillId="9" fontId="15" numFmtId="0" xfId="0">
      <alignment horizontal="right" vertical="center"/>
    </xf>
    <xf applyAlignment="true" applyBorder="false" applyFill="true" applyFont="true" applyNumberFormat="true" applyProtection="false" borderId="6" fillId="9" fontId="15" numFmtId="172" xfId="0">
      <alignment horizontal="right" vertical="center"/>
    </xf>
    <xf applyAlignment="true" applyBorder="false" applyFill="false" applyFont="true" applyNumberFormat="false" applyProtection="false" borderId="6" fillId="0" fontId="16" numFmtId="0" xfId="0">
      <alignment horizontal="center" vertical="center"/>
    </xf>
    <xf applyAlignment="true" applyBorder="false" applyFill="false" applyFont="true" applyNumberFormat="false" applyProtection="false" borderId="6" fillId="0" fontId="15" numFmtId="0" xfId="0">
      <alignment horizontal="right" vertical="center"/>
    </xf>
    <xf applyAlignment="true" applyBorder="false" applyFill="false" applyFont="true" applyNumberFormat="false" applyProtection="false" borderId="6" fillId="0" fontId="15" numFmtId="0" xfId="0">
      <alignment horizontal="right" vertical="center"/>
    </xf>
    <xf applyAlignment="true" applyBorder="false" applyFill="false" applyFont="true" applyNumberFormat="true" applyProtection="false" borderId="6" fillId="0" fontId="15" numFmtId="172" xfId="0">
      <alignment horizontal="right" vertical="center"/>
    </xf>
    <xf applyAlignment="true" applyBorder="false" applyFill="false" applyFont="true" applyNumberFormat="true" applyProtection="false" borderId="6" fillId="0" fontId="15" numFmtId="177" xfId="0">
      <alignment horizontal="right" vertical="center"/>
    </xf>
    <xf applyAlignment="true" applyBorder="false" applyFill="false" applyFont="true" applyNumberFormat="true" applyProtection="false" borderId="6" fillId="0" fontId="15" numFmtId="177" xfId="0">
      <alignment horizontal="right" vertical="center"/>
    </xf>
    <xf applyAlignment="true" applyBorder="false" applyFill="false" applyFont="true" applyNumberFormat="true" applyProtection="false" borderId="6" fillId="0" fontId="15" numFmtId="174" xfId="0">
      <alignment horizontal="right" vertical="center"/>
    </xf>
    <xf applyAlignment="true" applyBorder="false" applyFill="false" applyFont="true" applyNumberFormat="true" applyProtection="false" borderId="6" fillId="0" fontId="15" numFmtId="174" xfId="0">
      <alignment horizontal="right" vertical="center"/>
    </xf>
    <xf applyAlignment="true" applyBorder="false" applyFill="false" applyFont="true" applyNumberFormat="true" applyProtection="false" borderId="6" fillId="0" fontId="15" numFmtId="172" xfId="0">
      <alignment horizontal="right" vertical="center"/>
    </xf>
    <xf applyAlignment="true" applyBorder="false" applyFill="false" applyFont="true" applyNumberFormat="false" applyProtection="false" borderId="6" fillId="0" fontId="11" numFmtId="0" xfId="0">
      <alignment horizontal="right" vertical="center"/>
    </xf>
    <xf applyAlignment="true" applyBorder="false" applyFill="false" applyFont="true" applyNumberFormat="true" applyProtection="false" borderId="6" fillId="0" fontId="15" numFmtId="175" xfId="0">
      <alignment horizontal="right" vertical="center"/>
    </xf>
    <xf applyAlignment="true" applyBorder="false" applyFill="false" applyFont="true" applyNumberFormat="true" applyProtection="false" borderId="7" fillId="0" fontId="15" numFmtId="172" xfId="0">
      <alignment horizontal="right" vertical="center"/>
    </xf>
    <xf applyAlignment="true" applyBorder="false" applyFill="false" applyFont="true" applyNumberFormat="false" applyProtection="false" borderId="7" fillId="0" fontId="20" numFmtId="0" xfId="0">
      <alignment horizontal="right" vertical="center"/>
    </xf>
    <xf applyAlignment="true" applyBorder="false" applyFill="false" applyFont="true" applyNumberFormat="true" applyProtection="false" borderId="7" fillId="0" fontId="15" numFmtId="173" xfId="0">
      <alignment horizontal="right" vertical="center"/>
    </xf>
    <xf applyAlignment="true" applyBorder="false" applyFill="false" applyFont="true" applyNumberFormat="false" applyProtection="false" borderId="8" fillId="0" fontId="15" numFmtId="0" xfId="0">
      <alignment horizontal="right" vertical="center"/>
    </xf>
    <xf applyAlignment="true" applyBorder="false" applyFill="false" applyFont="true" applyNumberFormat="true" applyProtection="false" borderId="9" fillId="0" fontId="15" numFmtId="173" xfId="0">
      <alignment horizontal="right" vertical="center"/>
    </xf>
    <xf applyAlignment="true" applyBorder="false" applyFill="false" applyFont="true" applyNumberFormat="true" applyProtection="false" borderId="10" fillId="0" fontId="15" numFmtId="172" xfId="0">
      <alignment horizontal="right" vertical="center"/>
    </xf>
    <xf applyAlignment="true" applyBorder="false" applyFill="true" applyFont="true" applyNumberFormat="false" applyProtection="false" borderId="11" fillId="10" fontId="5" numFmtId="0" xfId="0">
      <alignment horizontal="right" vertical="center" wrapText="true"/>
    </xf>
    <xf applyAlignment="true" applyBorder="false" applyFill="true" applyFont="true" applyNumberFormat="false" applyProtection="false" borderId="12" fillId="10" fontId="25" numFmtId="0" xfId="0">
      <alignment horizontal="right" vertical="center"/>
    </xf>
    <xf applyAlignment="true" applyBorder="false" applyFill="true" applyFont="true" applyNumberFormat="false" applyProtection="false" borderId="12" fillId="10" fontId="25" numFmtId="0" xfId="0">
      <alignment horizontal="right" vertical="center"/>
    </xf>
    <xf applyAlignment="true" applyBorder="false" applyFill="true" applyFont="true" applyNumberFormat="false" applyProtection="false" borderId="12" fillId="11" fontId="13" numFmtId="0" xfId="0">
      <alignment horizontal="left" vertical="center"/>
    </xf>
    <xf applyAlignment="true" applyBorder="false" applyFill="true" applyFont="true" applyNumberFormat="false" applyProtection="false" borderId="12" fillId="11" fontId="13" numFmtId="0" xfId="0">
      <alignment horizontal="left" vertical="center"/>
    </xf>
    <xf applyAlignment="true" applyBorder="false" applyFill="true" applyFont="true" applyNumberFormat="false" applyProtection="false" borderId="11" fillId="10" fontId="5" numFmtId="0" xfId="0">
      <alignment horizontal="right" vertical="center" wrapText="true"/>
    </xf>
    <xf applyAlignment="true" applyBorder="false" applyFill="true" applyFont="true" applyNumberFormat="false" applyProtection="false" borderId="13" fillId="10" fontId="25" numFmtId="0" xfId="0">
      <alignment horizontal="right" vertical="center"/>
    </xf>
    <xf applyAlignment="true" applyBorder="false" applyFill="true" applyFont="true" applyNumberFormat="false" applyProtection="false" borderId="13" fillId="12" fontId="26" numFmtId="0" xfId="0">
      <alignment horizontal="right" vertical="center"/>
    </xf>
    <xf applyAlignment="true" applyBorder="false" applyFill="true" applyFont="true" applyNumberFormat="false" applyProtection="false" borderId="0" fillId="12" fontId="10" numFmtId="0" xfId="0">
      <alignment vertical="center" wrapText="true"/>
    </xf>
    <xf applyAlignment="true" applyBorder="false" applyFill="false" applyFont="true" applyNumberFormat="false" applyProtection="false" borderId="11" fillId="0" fontId="25" numFmtId="0" xfId="0">
      <alignment horizontal="center" vertical="center"/>
    </xf>
    <xf applyAlignment="true" applyBorder="false" applyFill="false" applyFont="true" applyNumberFormat="true" applyProtection="false" borderId="12" fillId="0" fontId="5" numFmtId="178" xfId="0">
      <alignment horizontal="right" vertical="center"/>
    </xf>
    <xf applyAlignment="true" applyBorder="false" applyFill="false" applyFont="true" applyNumberFormat="true" applyProtection="false" borderId="12" fillId="0" fontId="5" numFmtId="179" xfId="0">
      <alignment horizontal="right" vertical="center"/>
    </xf>
    <xf applyAlignment="true" applyBorder="false" applyFill="false" applyFont="true" applyNumberFormat="false" applyProtection="false" borderId="11" fillId="0" fontId="5" numFmtId="0" xfId="0">
      <alignment horizontal="right" vertical="center"/>
    </xf>
    <xf applyAlignment="true" applyBorder="false" applyFill="false" applyFont="true" applyNumberFormat="true" applyProtection="false" borderId="12" fillId="0" fontId="5" numFmtId="178" xfId="0">
      <alignment horizontal="right" vertical="center"/>
    </xf>
    <xf applyAlignment="true" applyBorder="false" applyFill="false" applyFont="true" applyNumberFormat="false" applyProtection="false" borderId="14" fillId="0" fontId="5" numFmtId="0" xfId="0">
      <alignment horizontal="right" vertical="center"/>
    </xf>
    <xf applyAlignment="true" applyBorder="false" applyFill="false" applyFont="true" applyNumberFormat="true" applyProtection="false" borderId="15" fillId="0" fontId="5" numFmtId="178" xfId="0">
      <alignment horizontal="right" vertical="center"/>
    </xf>
    <xf applyAlignment="true" applyBorder="false" applyFill="false" applyFont="true" applyNumberFormat="true" applyProtection="false" borderId="15" fillId="0" fontId="5" numFmtId="179" xfId="0">
      <alignment horizontal="right" vertical="center"/>
    </xf>
    <xf applyAlignment="true" applyBorder="false" applyFill="false" applyFont="true" applyNumberFormat="true" applyProtection="false" borderId="16" fillId="0" fontId="25" numFmtId="180" xfId="0">
      <alignment horizontal="center" vertical="center" wrapText="true"/>
    </xf>
    <xf applyAlignment="true" applyBorder="false" applyFill="false" applyFont="true" applyNumberFormat="true" applyProtection="false" borderId="17" fillId="0" fontId="5" numFmtId="178" xfId="0">
      <alignment horizontal="right" vertical="center"/>
    </xf>
    <xf applyAlignment="true" applyBorder="false" applyFill="false" applyFont="true" applyNumberFormat="true" applyProtection="false" borderId="17" fillId="0" fontId="5" numFmtId="179" xfId="0">
      <alignment horizontal="right" vertical="center"/>
    </xf>
    <xf applyAlignment="true" applyBorder="false" applyFill="false" applyFont="true" applyNumberFormat="true" applyProtection="false" borderId="17" fillId="0" fontId="11" numFmtId="178" xfId="0">
      <alignment horizontal="right" vertical="center"/>
    </xf>
    <xf applyAlignment="true" applyBorder="false" applyFill="false" applyFont="true" applyNumberFormat="false" applyProtection="false" borderId="18" fillId="0" fontId="5" numFmtId="0" xfId="0">
      <alignment horizontal="right" vertical="center"/>
    </xf>
    <xf applyAlignment="true" applyBorder="false" applyFill="false" applyFont="true" applyNumberFormat="true" applyProtection="false" borderId="13" fillId="0" fontId="5" numFmtId="178" xfId="0">
      <alignment horizontal="right" vertical="center"/>
    </xf>
    <xf applyAlignment="true" applyBorder="false" applyFill="false" applyFont="true" applyNumberFormat="true" applyProtection="false" borderId="13" fillId="0" fontId="5" numFmtId="179" xfId="0">
      <alignment horizontal="right" vertical="center"/>
    </xf>
    <xf applyAlignment="true" applyBorder="false" applyFill="false" applyFont="true" applyNumberFormat="true" applyProtection="false" borderId="19" fillId="0" fontId="25" numFmtId="180" xfId="0">
      <alignment horizontal="center" vertical="center" wrapText="true"/>
    </xf>
    <xf applyAlignment="true" applyBorder="false" applyFill="false" applyFont="true" applyNumberFormat="true" applyProtection="false" borderId="20" fillId="0" fontId="5" numFmtId="178" xfId="0">
      <alignment horizontal="right" vertical="center"/>
    </xf>
    <xf applyAlignment="true" applyBorder="false" applyFill="false" applyFont="true" applyNumberFormat="true" applyProtection="false" borderId="20" fillId="0" fontId="5" numFmtId="179" xfId="0">
      <alignment horizontal="right" vertical="center"/>
    </xf>
    <xf applyAlignment="true" applyBorder="false" applyFill="false" applyFont="true" applyNumberFormat="true" applyProtection="false" borderId="20" fillId="0" fontId="11" numFmtId="178" xfId="0">
      <alignment horizontal="right" vertical="center"/>
    </xf>
    <xf applyAlignment="true" applyBorder="false" applyFill="false" applyFont="true" applyNumberFormat="false" applyProtection="false" borderId="19" fillId="0" fontId="25" numFmtId="0" xfId="0">
      <alignment horizontal="center" vertical="center"/>
    </xf>
    <xf applyAlignment="true" applyBorder="false" applyFill="false" applyFont="true" applyNumberFormat="true" applyProtection="false" borderId="12" fillId="0" fontId="11" numFmtId="178" xfId="0">
      <alignment horizontal="right" vertical="center"/>
    </xf>
    <xf applyAlignment="true" applyBorder="false" applyFill="false" applyFont="true" applyNumberFormat="true" applyProtection="false" borderId="15" fillId="0" fontId="11" numFmtId="178" xfId="0">
      <alignment horizontal="right" vertical="center"/>
    </xf>
    <xf applyAlignment="true" applyBorder="false" applyFill="true" applyFont="true" applyNumberFormat="false" applyProtection="false" borderId="21" fillId="13" fontId="5" numFmtId="0" xfId="0">
      <alignment horizontal="center" vertical="center" wrapText="true"/>
    </xf>
    <xf applyAlignment="true" applyBorder="false" applyFill="true" applyFont="true" applyNumberFormat="false" applyProtection="false" borderId="22" fillId="13" fontId="25" numFmtId="0" xfId="0">
      <alignment horizontal="center" vertical="center"/>
    </xf>
    <xf applyAlignment="true" applyBorder="false" applyFill="true" applyFont="true" applyNumberFormat="false" applyProtection="false" borderId="22" fillId="13" fontId="25" numFmtId="0" xfId="0">
      <alignment horizontal="center" vertical="center"/>
    </xf>
    <xf applyAlignment="true" applyBorder="false" applyFill="true" applyFont="true" applyNumberFormat="false" applyProtection="false" borderId="22" fillId="14" fontId="13" numFmtId="0" xfId="0">
      <alignment horizontal="center" vertical="center"/>
    </xf>
    <xf applyAlignment="true" applyBorder="false" applyFill="true" applyFont="true" applyNumberFormat="false" applyProtection="false" borderId="21" fillId="13" fontId="5" numFmtId="0" xfId="0">
      <alignment horizontal="center" vertical="center" wrapText="true"/>
    </xf>
    <xf applyAlignment="true" applyBorder="false" applyFill="true" applyFont="true" applyNumberFormat="false" applyProtection="false" borderId="22" fillId="14" fontId="26" numFmtId="0" xfId="0">
      <alignment horizontal="center" vertical="center"/>
    </xf>
    <xf applyAlignment="true" applyBorder="false" applyFill="true" applyFont="true" applyNumberFormat="false" applyProtection="false" borderId="21" fillId="13" fontId="27" numFmtId="0" xfId="0">
      <alignment horizontal="left" vertical="center"/>
    </xf>
    <xf applyAlignment="true" applyBorder="false" applyFill="true" applyFont="true" applyNumberFormat="true" applyProtection="false" borderId="22" fillId="13" fontId="25" numFmtId="181" xfId="0">
      <alignment horizontal="right" vertical="center"/>
    </xf>
    <xf applyAlignment="true" applyBorder="false" applyFill="true" applyFont="true" applyNumberFormat="true" applyProtection="false" borderId="22" fillId="13" fontId="28" numFmtId="182" xfId="0">
      <alignment horizontal="right" vertical="center"/>
    </xf>
    <xf applyAlignment="true" applyBorder="false" applyFill="false" applyFont="true" applyNumberFormat="false" applyProtection="false" borderId="22" fillId="0" fontId="29" numFmtId="0" xfId="0">
      <alignment horizontal="right" vertical="center"/>
    </xf>
    <xf applyAlignment="true" applyBorder="false" applyFill="false" applyFont="true" applyNumberFormat="true" applyProtection="false" borderId="22" fillId="0" fontId="30" numFmtId="182" xfId="0">
      <alignment horizontal="right" vertical="center"/>
    </xf>
    <xf applyAlignment="true" applyBorder="false" applyFill="true" applyFont="true" applyNumberFormat="true" applyProtection="false" borderId="22" fillId="13" fontId="27" numFmtId="181" xfId="0">
      <alignment horizontal="right" vertical="center"/>
    </xf>
    <xf applyAlignment="true" applyBorder="false" applyFill="true" applyFont="true" applyNumberFormat="true" applyProtection="false" borderId="22" fillId="13" fontId="31" numFmtId="182" xfId="0">
      <alignment horizontal="right" vertical="center"/>
    </xf>
    <xf applyAlignment="true" applyBorder="false" applyFill="false" applyFont="true" applyNumberFormat="true" applyProtection="false" borderId="22" fillId="0" fontId="29" numFmtId="181" xfId="0">
      <alignment horizontal="right" vertical="center"/>
    </xf>
    <xf applyAlignment="true" applyBorder="false" applyFill="true" applyFont="true" applyNumberFormat="false" applyProtection="false" borderId="21" fillId="13" fontId="5" numFmtId="0" xfId="0">
      <alignment horizontal="left" vertical="center"/>
    </xf>
    <xf applyAlignment="true" applyBorder="false" applyFill="true" applyFont="true" applyNumberFormat="true" applyProtection="false" borderId="22" fillId="13" fontId="32" numFmtId="183" xfId="0">
      <alignment horizontal="right" vertical="center"/>
    </xf>
    <xf applyAlignment="true" applyBorder="false" applyFill="true" applyFont="true" applyNumberFormat="true" applyProtection="false" borderId="22" fillId="13" fontId="5" numFmtId="181" xfId="0">
      <alignment horizontal="right" vertical="center"/>
    </xf>
    <xf applyAlignment="true" applyBorder="false" applyFill="false" applyFont="true" applyNumberFormat="true" applyProtection="false" borderId="22" fillId="0" fontId="5" numFmtId="181" xfId="0">
      <alignment horizontal="right" vertical="bottom"/>
    </xf>
    <xf applyAlignment="true" applyBorder="false" applyFill="false" applyFont="true" applyNumberFormat="false" applyProtection="false" borderId="22" fillId="0" fontId="5" numFmtId="0" xfId="0">
      <alignment horizontal="right" vertical="bottom"/>
    </xf>
    <xf applyAlignment="true" applyBorder="false" applyFill="false" applyFont="true" applyNumberFormat="true" applyProtection="false" borderId="22" fillId="0" fontId="33" numFmtId="182" xfId="0">
      <alignment horizontal="right" vertical="center"/>
    </xf>
    <xf applyAlignment="true" applyBorder="false" applyFill="true" applyFont="true" applyNumberFormat="false" applyProtection="false" borderId="21" fillId="13" fontId="34" numFmtId="0" xfId="0">
      <alignment horizontal="left" vertical="center"/>
    </xf>
    <xf applyAlignment="true" applyBorder="false" applyFill="true" applyFont="true" applyNumberFormat="true" applyProtection="false" borderId="22" fillId="13" fontId="35" numFmtId="182" xfId="0">
      <alignment horizontal="right" vertical="center"/>
    </xf>
    <xf applyAlignment="true" applyBorder="false" applyFill="true" applyFont="true" applyNumberFormat="true" applyProtection="false" borderId="22" fillId="13" fontId="34" numFmtId="184" xfId="0">
      <alignment horizontal="right" vertical="center"/>
    </xf>
    <xf applyAlignment="true" applyBorder="false" applyFill="true" applyFont="true" applyNumberFormat="false" applyProtection="false" borderId="22" fillId="13" fontId="36" numFmtId="0" xfId="0">
      <alignment horizontal="right" vertical="center"/>
    </xf>
    <xf applyAlignment="true" applyBorder="false" applyFill="false" applyFont="true" applyNumberFormat="true" applyProtection="false" borderId="22" fillId="0" fontId="34" numFmtId="184" xfId="0">
      <alignment horizontal="right" vertical="center"/>
    </xf>
    <xf applyAlignment="true" applyBorder="false" applyFill="false" applyFont="true" applyNumberFormat="false" applyProtection="false" borderId="22" fillId="0" fontId="25" numFmtId="0" xfId="0">
      <alignment horizontal="right" vertical="center"/>
    </xf>
    <xf applyAlignment="true" applyBorder="false" applyFill="true" applyFont="true" applyNumberFormat="true" applyProtection="false" borderId="22" fillId="13" fontId="34" numFmtId="182" xfId="0">
      <alignment horizontal="right" vertical="center"/>
    </xf>
    <xf applyAlignment="true" applyBorder="false" applyFill="true" applyFont="true" applyNumberFormat="true" applyProtection="false" borderId="22" fillId="13" fontId="36" numFmtId="184" xfId="0">
      <alignment horizontal="right" vertical="center"/>
    </xf>
  </cellXfs>
  <cellStyles count="1">
    <cellStyle builtinId="0" name="Normal" xfId="0"/>
  </cellStyles>
  <dxfs count="2">
    <dxf>
      <font>
        <sz val="11"/>
        <color rgb="FF34C724"/>
        <name val="Calibri"/>
        <family val="2"/>
        <scheme val="minor"/>
      </font>
    </dxf>
    <dxf>
      <font>
        <sz val="11"/>
        <color rgb="FFF54A45"/>
        <name val="Calibri"/>
        <family val="2"/>
        <scheme val="minor"/>
      </font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https://wanlianyida.feishu.cn/wiki/POkWwBZs9iCdh4kJ6CTc69b1nXd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3" defaultRowHeight="20"/>
  <sheetData/>
  <pageMargins bottom="0.75" footer="0.3" header="0.3" left="0.7" right="0.7" top="0.75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3" defaultRowHeight="20"/>
  <cols>
    <col collapsed="false" customWidth="true" hidden="false" max="1" min="1" style="0" width="21"/>
    <col collapsed="false" customWidth="true" hidden="false" max="2" min="2" style="0" width="16"/>
    <col collapsed="false" customWidth="true" hidden="false" max="3" min="3" style="0" width="13"/>
    <col collapsed="false" customWidth="true" hidden="false" max="4" min="4" style="0" width="13"/>
    <col collapsed="false" customWidth="true" hidden="false" max="7" min="7" style="0" width="28"/>
    <col collapsed="false" customWidth="true" hidden="false" max="8" min="8" style="0" width="24"/>
  </cols>
  <sheetData>
    <row r="1">
      <c r="A1" s="1" t="s">
        <v>1</v>
      </c>
      <c r="B1" s="1"/>
      <c r="C1" s="1"/>
      <c r="D1" s="1"/>
      <c r="E1" s="1"/>
      <c r="F1" s="1"/>
      <c r="G1" s="1"/>
      <c r="H1" s="1"/>
    </row>
    <row r="2">
      <c r="A2" s="2" t="s">
        <v>2</v>
      </c>
      <c r="B2" s="2" t="s">
        <v>3</v>
      </c>
      <c r="C2" s="3" t="s">
        <v>4</v>
      </c>
      <c r="D2" s="3" t="s">
        <v>5</v>
      </c>
      <c r="E2" s="2" t="s">
        <v>6</v>
      </c>
      <c r="F2" s="3" t="s">
        <v>7</v>
      </c>
      <c r="G2" s="4" t="s">
        <v>8</v>
      </c>
      <c r="H2" s="4" t="s">
        <v>9</v>
      </c>
    </row>
    <row r="3">
      <c r="A3" s="5" t="s">
        <v>10</v>
      </c>
      <c r="B3" s="6"/>
      <c r="C3" s="7"/>
      <c r="D3" s="7"/>
      <c r="E3" s="7"/>
      <c r="F3" s="7"/>
      <c r="G3" s="8" t="s">
        <v>11</v>
      </c>
      <c r="H3" s="9"/>
    </row>
    <row customHeight="true" ht="25" r="4">
      <c r="A4" s="5" t="s">
        <v>12</v>
      </c>
      <c r="B4" s="10">
        <v>197</v>
      </c>
      <c r="C4" s="11">
        <v>195</v>
      </c>
      <c r="D4" s="12"/>
      <c r="E4" s="13">
        <v>195</v>
      </c>
      <c r="F4" s="14">
        <v>197</v>
      </c>
      <c r="G4" s="9"/>
      <c r="H4" s="9"/>
    </row>
    <row customHeight="true" ht="25" r="5">
      <c r="A5" s="5" t="s">
        <v>13</v>
      </c>
      <c r="B5" s="10">
        <v>-1</v>
      </c>
      <c r="C5" s="15">
        <v>-2</v>
      </c>
      <c r="D5" s="16"/>
      <c r="E5" s="13">
        <v>-3</v>
      </c>
      <c r="F5" s="14">
        <v>2</v>
      </c>
      <c r="G5" s="9"/>
      <c r="H5" s="9"/>
    </row>
    <row r="6">
      <c r="A6" s="5" t="s">
        <v>14</v>
      </c>
      <c r="B6" s="10">
        <v>152</v>
      </c>
      <c r="C6" s="17">
        <v>144.8</v>
      </c>
      <c r="D6" s="18">
        <f>C6/B6</f>
      </c>
      <c r="E6" s="13">
        <v>144.8</v>
      </c>
      <c r="F6" s="14">
        <v>147.9</v>
      </c>
      <c r="G6" s="9"/>
      <c r="H6" s="9"/>
    </row>
    <row r="7">
      <c r="A7" s="19" t="s">
        <v>15</v>
      </c>
      <c r="B7" s="20">
        <v>17</v>
      </c>
      <c r="C7" s="21">
        <v>7.8</v>
      </c>
      <c r="D7" s="22"/>
      <c r="E7" s="23">
        <v>3.8</v>
      </c>
      <c r="F7" s="24">
        <f>F6-E6</f>
      </c>
      <c r="G7" s="25"/>
      <c r="H7" s="25"/>
    </row>
    <row r="8">
      <c r="A8" s="1" t="s">
        <v>16</v>
      </c>
      <c r="B8" s="1"/>
      <c r="C8" s="1"/>
      <c r="D8" s="1"/>
      <c r="E8" s="1"/>
      <c r="F8" s="1"/>
      <c r="G8" s="1"/>
      <c r="H8" s="1"/>
    </row>
    <row r="9">
      <c r="A9" s="26" t="s">
        <v>17</v>
      </c>
      <c r="B9" s="6"/>
      <c r="C9" s="7"/>
      <c r="D9" s="7"/>
      <c r="E9" s="7"/>
      <c r="F9" s="14"/>
      <c r="G9" s="27" t="s">
        <v>18</v>
      </c>
      <c r="H9" s="28" t="s">
        <v>19</v>
      </c>
    </row>
    <row r="10">
      <c r="A10" s="5" t="s">
        <v>20</v>
      </c>
      <c r="B10" s="5">
        <v>1</v>
      </c>
      <c r="C10" s="29">
        <f>E10+F10</f>
      </c>
      <c r="D10" s="30">
        <f>C10/B10</f>
      </c>
      <c r="E10" s="14">
        <v>0.2572</v>
      </c>
      <c r="F10" s="14">
        <v>0.2889</v>
      </c>
      <c r="G10" s="31"/>
      <c r="H10" s="32"/>
    </row>
    <row r="11">
      <c r="A11" s="5" t="s">
        <v>21</v>
      </c>
      <c r="B11" s="5">
        <v>240</v>
      </c>
      <c r="C11" s="29"/>
      <c r="D11" s="30"/>
      <c r="E11" s="14"/>
      <c r="F11" s="14"/>
      <c r="G11" s="31"/>
      <c r="H11" s="32"/>
    </row>
    <row r="12">
      <c r="A12" s="5" t="s">
        <v>22</v>
      </c>
      <c r="B12" s="33">
        <v>0.2</v>
      </c>
      <c r="C12" s="29"/>
      <c r="D12" s="30"/>
      <c r="E12" s="14"/>
      <c r="F12" s="14"/>
      <c r="G12" s="31"/>
      <c r="H12" s="32"/>
    </row>
    <row r="13">
      <c r="A13" s="5" t="s">
        <v>23</v>
      </c>
      <c r="B13" s="33">
        <v>0.7</v>
      </c>
      <c r="C13" s="29">
        <f t="shared" ref="C13:C14" si="3">E13+F13</f>
      </c>
      <c r="D13" s="30">
        <f t="shared" ref="D13:D14" si="1">C13/B13</f>
      </c>
      <c r="E13" s="34">
        <v>0.9</v>
      </c>
      <c r="F13" s="34">
        <v>0.9</v>
      </c>
      <c r="G13" s="31"/>
      <c r="H13" s="32"/>
    </row>
    <row r="14">
      <c r="A14" s="19" t="s">
        <v>24</v>
      </c>
      <c r="B14" s="35">
        <v>0.03</v>
      </c>
      <c r="C14" s="35">
        <f t="shared" si="3"/>
      </c>
      <c r="D14" s="35">
        <f t="shared" si="1"/>
      </c>
      <c r="E14" s="35">
        <v>0.019</v>
      </c>
      <c r="F14" s="36">
        <v>0.025</v>
      </c>
      <c r="G14" s="37"/>
      <c r="H14" s="38"/>
    </row>
    <row r="15">
      <c r="A15" s="39" t="s">
        <v>25</v>
      </c>
      <c r="B15" s="6"/>
      <c r="C15" s="7"/>
      <c r="D15" s="7"/>
      <c r="E15" s="7"/>
      <c r="F15" s="14"/>
      <c r="G15" s="40" t="s">
        <v>26</v>
      </c>
      <c r="H15" s="41" t="s">
        <v>27</v>
      </c>
    </row>
    <row r="16">
      <c r="A16" s="42" t="s">
        <v>20</v>
      </c>
      <c r="B16" s="5">
        <v>0.4</v>
      </c>
      <c r="C16" s="43">
        <f t="shared" ref="C16:C21" si="0">E16</f>
      </c>
      <c r="D16" s="44">
        <f t="shared" ref="D16:D20" si="2">C16/B16</f>
      </c>
      <c r="E16" s="43">
        <v>0.0005</v>
      </c>
      <c r="F16" s="14"/>
      <c r="G16" s="45"/>
      <c r="H16" s="41"/>
    </row>
    <row r="17">
      <c r="A17" s="5" t="s">
        <v>28</v>
      </c>
      <c r="B17" s="5">
        <v>6</v>
      </c>
      <c r="C17" s="43">
        <f t="shared" si="0"/>
      </c>
      <c r="D17" s="44">
        <f t="shared" si="2"/>
      </c>
      <c r="E17" s="43">
        <v>0.6</v>
      </c>
      <c r="F17" s="14"/>
      <c r="G17" s="45"/>
      <c r="H17" s="41"/>
    </row>
    <row r="18">
      <c r="A18" s="5" t="s">
        <v>29</v>
      </c>
      <c r="B18" s="5">
        <v>200</v>
      </c>
      <c r="C18" s="43">
        <f t="shared" si="0"/>
      </c>
      <c r="D18" s="44">
        <f t="shared" si="2"/>
      </c>
      <c r="E18" s="43">
        <v>20</v>
      </c>
      <c r="F18" s="14"/>
      <c r="G18" s="45"/>
      <c r="H18" s="41"/>
    </row>
    <row r="19">
      <c r="A19" s="5" t="s">
        <v>30</v>
      </c>
      <c r="B19" s="5">
        <v>300</v>
      </c>
      <c r="C19" s="43">
        <f t="shared" si="0"/>
      </c>
      <c r="D19" s="44">
        <f t="shared" si="2"/>
      </c>
      <c r="E19" s="43">
        <v>300</v>
      </c>
      <c r="F19" s="14"/>
      <c r="G19" s="45"/>
      <c r="H19" s="41"/>
    </row>
    <row r="20">
      <c r="A20" s="5" t="s">
        <v>31</v>
      </c>
      <c r="B20" s="33">
        <v>0.3</v>
      </c>
      <c r="C20" s="43">
        <f t="shared" si="0"/>
      </c>
      <c r="D20" s="44">
        <f t="shared" si="2"/>
      </c>
      <c r="E20" s="46">
        <v>0.3352</v>
      </c>
      <c r="F20" s="14"/>
      <c r="G20" s="45"/>
      <c r="H20" s="41"/>
    </row>
    <row r="21">
      <c r="A21" s="5" t="s">
        <v>32</v>
      </c>
      <c r="B21" s="33">
        <v>0.2</v>
      </c>
      <c r="C21" s="43">
        <f t="shared" si="0"/>
      </c>
      <c r="D21" s="43">
        <f>C21-B21</f>
      </c>
      <c r="E21" s="46">
        <v>0.0832</v>
      </c>
      <c r="F21" s="14"/>
      <c r="G21" s="45"/>
      <c r="H21" s="41"/>
    </row>
    <row r="22">
      <c r="A22" s="47" t="s">
        <v>33</v>
      </c>
      <c r="B22" s="6"/>
      <c r="C22" s="7"/>
      <c r="D22" s="7"/>
      <c r="E22" s="7"/>
      <c r="F22" s="14"/>
      <c r="G22" s="48" t="s">
        <v>34</v>
      </c>
      <c r="H22" s="49" t="s">
        <v>35</v>
      </c>
    </row>
    <row r="23">
      <c r="A23" s="5" t="s">
        <v>20</v>
      </c>
      <c r="B23" s="5">
        <v>0.1</v>
      </c>
      <c r="C23" s="7"/>
      <c r="D23" s="7"/>
      <c r="E23" s="7"/>
      <c r="F23" s="50"/>
      <c r="G23" s="49"/>
      <c r="H23" s="49"/>
    </row>
    <row r="24">
      <c r="A24" s="5" t="s">
        <v>36</v>
      </c>
      <c r="B24" s="5">
        <v>1000</v>
      </c>
      <c r="C24" s="7"/>
      <c r="D24" s="7"/>
      <c r="E24" s="7"/>
      <c r="F24" s="14"/>
      <c r="G24" s="49"/>
      <c r="H24" s="49"/>
    </row>
    <row r="25">
      <c r="A25" s="5" t="s">
        <v>37</v>
      </c>
      <c r="B25" s="5">
        <v>5</v>
      </c>
      <c r="C25" s="7"/>
      <c r="D25" s="7"/>
      <c r="E25" s="7"/>
      <c r="F25" s="14"/>
      <c r="G25" s="49"/>
      <c r="H25" s="49"/>
    </row>
    <row r="26">
      <c r="A26" s="5" t="s">
        <v>24</v>
      </c>
      <c r="B26" s="33">
        <v>0.2</v>
      </c>
      <c r="C26" s="51"/>
      <c r="D26" s="51"/>
      <c r="E26" s="51"/>
      <c r="F26" s="14"/>
      <c r="G26" s="49"/>
      <c r="H26" s="49"/>
    </row>
    <row r="27">
      <c r="A27" s="19" t="s">
        <v>38</v>
      </c>
      <c r="B27" s="52">
        <v>0.5</v>
      </c>
      <c r="C27" s="53"/>
      <c r="D27" s="53"/>
      <c r="E27" s="53"/>
      <c r="F27" s="24"/>
      <c r="G27" s="54"/>
      <c r="H27" s="54"/>
    </row>
    <row r="28">
      <c r="A28" s="55" t="s">
        <v>39</v>
      </c>
      <c r="B28" s="6"/>
      <c r="C28" s="7"/>
      <c r="D28" s="7"/>
      <c r="E28" s="7"/>
      <c r="F28" s="14"/>
      <c r="G28" s="56"/>
      <c r="H28" s="57"/>
    </row>
    <row customHeight="true" ht="91" r="29">
      <c r="A29" s="19" t="s">
        <v>20</v>
      </c>
      <c r="B29" s="19">
        <v>0.1</v>
      </c>
      <c r="C29" s="58">
        <f>E29+F29</f>
      </c>
      <c r="D29" s="59">
        <f>C29/B29</f>
      </c>
      <c r="E29" s="24">
        <v>0.0153</v>
      </c>
      <c r="F29" s="24">
        <v>0.0095</v>
      </c>
      <c r="G29" s="54" t="s">
        <v>40</v>
      </c>
      <c r="H29" s="60" t="s">
        <v>41</v>
      </c>
    </row>
    <row r="30">
      <c r="A30" s="26" t="s">
        <v>42</v>
      </c>
      <c r="B30" s="6"/>
      <c r="C30" s="7"/>
      <c r="D30" s="7"/>
      <c r="E30" s="7"/>
      <c r="F30" s="14"/>
      <c r="G30" s="49" t="s">
        <v>43</v>
      </c>
      <c r="H30" s="61" t="s">
        <v>44</v>
      </c>
    </row>
    <row r="31">
      <c r="A31" s="5" t="s">
        <v>20</v>
      </c>
      <c r="B31" s="5">
        <v>0.1</v>
      </c>
      <c r="C31" s="7">
        <f t="shared" ref="C31:C32" si="4">E31+F31</f>
      </c>
      <c r="D31" s="7">
        <f>C31/B31</f>
      </c>
      <c r="E31" s="14">
        <v>0</v>
      </c>
      <c r="F31" s="14">
        <f>25/10000</f>
      </c>
      <c r="G31" s="49"/>
      <c r="H31" s="61"/>
    </row>
    <row r="32">
      <c r="A32" s="5" t="s">
        <v>45</v>
      </c>
      <c r="B32" s="5">
        <v>0.3</v>
      </c>
      <c r="C32" s="7">
        <f t="shared" si="4"/>
      </c>
      <c r="D32" s="7"/>
      <c r="E32" s="14">
        <v>5000</v>
      </c>
      <c r="F32" s="14">
        <f>2835/10000</f>
      </c>
      <c r="G32" s="49"/>
      <c r="H32" s="61"/>
    </row>
    <row r="33">
      <c r="A33" s="19" t="s">
        <v>32</v>
      </c>
      <c r="B33" s="52">
        <v>0.2</v>
      </c>
      <c r="C33" s="62">
        <f>C31/C32</f>
      </c>
      <c r="D33" s="63"/>
      <c r="E33" s="64">
        <v>0</v>
      </c>
      <c r="F33" s="65">
        <f>F31/F32</f>
      </c>
      <c r="G33" s="54"/>
      <c r="H33" s="66"/>
    </row>
  </sheetData>
  <mergeCells>
    <mergeCell ref="A1:H1"/>
    <mergeCell ref="G3:H7"/>
    <mergeCell ref="A8:H8"/>
    <mergeCell ref="G9:G14"/>
    <mergeCell ref="H9:H14"/>
    <mergeCell ref="G15:G21"/>
    <mergeCell ref="H15:H21"/>
    <mergeCell ref="G30:G33"/>
    <mergeCell ref="H30:H33"/>
    <mergeCell ref="G22:G27"/>
    <mergeCell ref="H22:H27"/>
  </mergeCells>
  <hyperlinks>
    <hyperlink ref="G22" display="线下拉新试点方案" r:id="rId1"/>
  </hyperlinks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ColWidth="13" defaultRowHeight="20"/>
  <cols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29"/>
    <col collapsed="false" customWidth="true" hidden="false" max="8" min="8" style="0" width="26"/>
    <col collapsed="false" customWidth="true" hidden="false" max="1" min="1" style="0" width="28"/>
    <col collapsed="false" customWidth="true" hidden="false" max="4" min="4" style="0" width="13"/>
  </cols>
  <sheetData>
    <row r="1">
      <c r="A1" s="67"/>
      <c r="B1" s="67" t="s">
        <v>46</v>
      </c>
      <c r="C1" s="67" t="s">
        <v>47</v>
      </c>
      <c r="D1" s="68" t="s">
        <v>48</v>
      </c>
      <c r="E1" s="68" t="s">
        <v>49</v>
      </c>
      <c r="F1" s="68" t="s">
        <v>50</v>
      </c>
      <c r="G1" s="67" t="s">
        <v>51</v>
      </c>
      <c r="H1" s="67" t="s">
        <v>52</v>
      </c>
    </row>
    <row r="2">
      <c r="A2" s="69" t="s">
        <v>53</v>
      </c>
      <c r="B2" s="70">
        <v>121.6</v>
      </c>
      <c r="C2" s="71">
        <v>58.3267</v>
      </c>
      <c r="D2" s="72">
        <f t="shared" ref="D2:D9" si="1">C2/B2</f>
      </c>
      <c r="E2" s="71">
        <v>19.6142</v>
      </c>
      <c r="F2" s="71">
        <v>26.7427</v>
      </c>
      <c r="G2" s="73"/>
      <c r="H2" s="73"/>
    </row>
    <row r="3">
      <c r="A3" s="74" t="s">
        <v>54</v>
      </c>
      <c r="B3" s="75">
        <v>5.3</v>
      </c>
      <c r="C3" s="76">
        <v>4.78</v>
      </c>
      <c r="D3" s="77">
        <f t="shared" si="1"/>
      </c>
      <c r="E3" s="78">
        <v>3.4</v>
      </c>
      <c r="F3" s="78">
        <v>4.78</v>
      </c>
      <c r="G3" s="79" t="s">
        <v>55</v>
      </c>
      <c r="H3" s="79" t="s">
        <v>56</v>
      </c>
    </row>
    <row r="4">
      <c r="A4" s="80" t="s">
        <v>57</v>
      </c>
      <c r="B4" s="75">
        <v>8.5</v>
      </c>
      <c r="C4" s="81">
        <v>3.7993</v>
      </c>
      <c r="D4" s="77">
        <f t="shared" si="1"/>
      </c>
      <c r="E4" s="75"/>
      <c r="F4" s="75"/>
      <c r="G4" s="82"/>
      <c r="H4" s="82"/>
    </row>
    <row r="5">
      <c r="A5" s="74" t="s">
        <v>58</v>
      </c>
      <c r="B5" s="75">
        <v>1.51</v>
      </c>
      <c r="C5" s="76">
        <v>1.5074</v>
      </c>
      <c r="D5" s="77">
        <f t="shared" si="1"/>
      </c>
      <c r="E5" s="83">
        <v>0.2815</v>
      </c>
      <c r="F5" s="83">
        <v>0.7474</v>
      </c>
      <c r="G5" s="82"/>
      <c r="H5" s="82"/>
    </row>
    <row r="6">
      <c r="A6" s="74" t="s">
        <v>59</v>
      </c>
      <c r="B6" s="75">
        <v>4.52</v>
      </c>
      <c r="C6" s="76">
        <v>1.9221</v>
      </c>
      <c r="D6" s="77">
        <f t="shared" si="1"/>
      </c>
      <c r="E6" s="83">
        <v>0.6366</v>
      </c>
      <c r="F6" s="83">
        <v>1.00115</v>
      </c>
      <c r="G6" s="82"/>
      <c r="H6" s="82"/>
    </row>
    <row r="7">
      <c r="A7" s="74" t="s">
        <v>60</v>
      </c>
      <c r="B7" s="75">
        <v>0.52</v>
      </c>
      <c r="C7" s="76">
        <v>0.22135</v>
      </c>
      <c r="D7" s="77">
        <f t="shared" si="1"/>
      </c>
      <c r="E7" s="83">
        <v>0.0599</v>
      </c>
      <c r="F7" s="83">
        <v>0.10625</v>
      </c>
      <c r="G7" s="82"/>
      <c r="H7" s="82"/>
    </row>
    <row r="8">
      <c r="A8" s="68" t="s">
        <v>61</v>
      </c>
      <c r="B8" s="75">
        <v>1.95</v>
      </c>
      <c r="C8" s="84">
        <v>0.11865</v>
      </c>
      <c r="D8" s="77">
        <f t="shared" si="1"/>
      </c>
      <c r="E8" s="81">
        <v>0.0083</v>
      </c>
      <c r="F8" s="81">
        <v>0.104</v>
      </c>
      <c r="G8" s="82"/>
      <c r="H8" s="82"/>
    </row>
    <row r="9">
      <c r="A9" s="80" t="s">
        <v>62</v>
      </c>
      <c r="B9" s="75">
        <v>113.1</v>
      </c>
      <c r="C9" s="75">
        <f>C2-C4</f>
      </c>
      <c r="D9" s="77">
        <f t="shared" si="1"/>
      </c>
      <c r="E9" s="75"/>
      <c r="F9" s="75"/>
      <c r="G9" s="82"/>
      <c r="H9" s="82"/>
    </row>
    <row r="10">
      <c r="A10" s="74" t="s">
        <v>63</v>
      </c>
      <c r="B10" s="75" t="s">
        <v>64</v>
      </c>
      <c r="C10" s="78" t="s">
        <v>65</v>
      </c>
      <c r="D10" s="75"/>
      <c r="E10" s="75"/>
      <c r="F10" s="75"/>
      <c r="G10" s="82"/>
      <c r="H10" s="82"/>
    </row>
    <row r="11">
      <c r="A11" s="74" t="s">
        <v>66</v>
      </c>
      <c r="B11" s="75" t="s">
        <v>67</v>
      </c>
      <c r="C11" s="78" t="s">
        <v>68</v>
      </c>
      <c r="D11" s="75"/>
      <c r="E11" s="75"/>
      <c r="F11" s="75"/>
      <c r="G11" s="82"/>
      <c r="H11" s="82"/>
    </row>
    <row r="12">
      <c r="A12" s="74" t="s">
        <v>69</v>
      </c>
      <c r="B12" s="75" t="s">
        <v>70</v>
      </c>
      <c r="C12" s="78" t="s">
        <v>71</v>
      </c>
      <c r="D12" s="75"/>
      <c r="E12" s="75"/>
      <c r="F12" s="75"/>
      <c r="G12" s="82"/>
      <c r="H12" s="82"/>
    </row>
    <row r="13">
      <c r="A13" s="67"/>
      <c r="B13" s="67"/>
      <c r="C13" s="75"/>
      <c r="D13" s="75"/>
      <c r="E13" s="75"/>
      <c r="F13" s="75"/>
      <c r="G13" s="82"/>
      <c r="H13" s="82"/>
    </row>
    <row r="14">
      <c r="A14" s="69" t="s">
        <v>72</v>
      </c>
      <c r="B14" s="73"/>
      <c r="C14" s="85">
        <v>63124</v>
      </c>
      <c r="D14" s="70"/>
      <c r="E14" s="85">
        <v>13166</v>
      </c>
      <c r="F14" s="85">
        <v>30593</v>
      </c>
      <c r="G14" s="73"/>
      <c r="H14" s="73"/>
    </row>
    <row r="15">
      <c r="A15" s="68" t="s">
        <v>73</v>
      </c>
      <c r="B15" s="67"/>
      <c r="C15" s="78">
        <v>4886</v>
      </c>
      <c r="D15" s="75"/>
      <c r="E15" s="78">
        <v>1616</v>
      </c>
      <c r="F15" s="78">
        <v>1764</v>
      </c>
      <c r="G15" s="79"/>
      <c r="H15" s="86"/>
    </row>
    <row r="16">
      <c r="A16" s="68" t="s">
        <v>74</v>
      </c>
      <c r="B16" s="67"/>
      <c r="C16" s="77">
        <f>3333/4886</f>
      </c>
      <c r="D16" s="75"/>
      <c r="E16" s="77">
        <f>1104/E15</f>
      </c>
      <c r="F16" s="77">
        <f>1252/F15</f>
      </c>
      <c r="G16" s="79"/>
      <c r="H16" s="86"/>
    </row>
    <row r="17">
      <c r="A17" s="68" t="s">
        <v>75</v>
      </c>
      <c r="B17" s="67"/>
      <c r="C17" s="78">
        <v>784</v>
      </c>
      <c r="D17" s="75"/>
      <c r="E17" s="78">
        <v>122</v>
      </c>
      <c r="F17" s="78">
        <v>662</v>
      </c>
      <c r="G17" s="79"/>
      <c r="H17" s="86"/>
    </row>
    <row r="18">
      <c r="A18" s="68" t="s">
        <v>76</v>
      </c>
      <c r="B18" s="67"/>
      <c r="C18" s="87">
        <v>29</v>
      </c>
      <c r="D18" s="75"/>
      <c r="E18" s="87">
        <v>46</v>
      </c>
      <c r="F18" s="87">
        <v>26</v>
      </c>
      <c r="G18" s="79"/>
      <c r="H18" s="86"/>
    </row>
    <row r="19">
      <c r="A19" s="88"/>
      <c r="B19" s="89"/>
      <c r="C19" s="89"/>
      <c r="D19" s="89"/>
      <c r="E19" s="89"/>
      <c r="F19" s="89"/>
      <c r="G19" s="79"/>
      <c r="H19" s="86"/>
    </row>
    <row r="20">
      <c r="A20" s="90" t="s">
        <v>77</v>
      </c>
      <c r="B20" s="91"/>
      <c r="C20" s="92"/>
      <c r="D20" s="92"/>
      <c r="E20" s="91"/>
      <c r="F20" s="91"/>
      <c r="G20" s="73"/>
      <c r="H20" s="73"/>
    </row>
    <row r="21">
      <c r="A21" s="93" t="s">
        <v>78</v>
      </c>
      <c r="B21" s="94">
        <v>0.1</v>
      </c>
      <c r="C21" s="95">
        <v>0.0018</v>
      </c>
      <c r="D21" s="77">
        <f>C21/B21</f>
      </c>
      <c r="E21" s="96">
        <v>0</v>
      </c>
      <c r="F21" s="96">
        <v>0</v>
      </c>
      <c r="G21" s="79" t="s">
        <v>79</v>
      </c>
      <c r="H21" s="79" t="s">
        <v>80</v>
      </c>
    </row>
    <row r="22">
      <c r="A22" s="93" t="s">
        <v>81</v>
      </c>
      <c r="B22" s="89"/>
      <c r="C22" s="89"/>
      <c r="D22" s="89"/>
      <c r="E22" s="89"/>
      <c r="F22" s="89"/>
      <c r="G22" s="82"/>
      <c r="H22" s="82"/>
    </row>
    <row r="23">
      <c r="A23" s="93" t="s">
        <v>82</v>
      </c>
      <c r="B23" s="88"/>
      <c r="C23" s="89"/>
      <c r="D23" s="89"/>
      <c r="E23" s="88"/>
      <c r="F23" s="88"/>
      <c r="G23" s="82"/>
      <c r="H23" s="82"/>
    </row>
    <row r="24">
      <c r="A24" s="93" t="s">
        <v>83</v>
      </c>
      <c r="B24" s="88"/>
      <c r="C24" s="89"/>
      <c r="D24" s="89"/>
      <c r="E24" s="88"/>
      <c r="F24" s="88"/>
      <c r="G24" s="82"/>
      <c r="H24" s="82"/>
    </row>
    <row r="25">
      <c r="A25" s="88"/>
      <c r="B25" s="88"/>
      <c r="C25" s="89"/>
      <c r="D25" s="89"/>
      <c r="E25" s="88"/>
      <c r="F25" s="88"/>
      <c r="G25" s="82"/>
      <c r="H25" s="82"/>
    </row>
    <row r="26">
      <c r="A26" s="90" t="s">
        <v>84</v>
      </c>
      <c r="B26" s="91"/>
      <c r="C26" s="92"/>
      <c r="D26" s="92"/>
      <c r="E26" s="91"/>
      <c r="F26" s="91"/>
      <c r="G26" s="73"/>
      <c r="H26" s="73"/>
    </row>
    <row r="27">
      <c r="A27" s="93" t="s">
        <v>85</v>
      </c>
      <c r="B27" s="88"/>
      <c r="C27" s="89"/>
      <c r="D27" s="89"/>
      <c r="E27" s="88"/>
      <c r="F27" s="88"/>
      <c r="G27" s="79" t="s">
        <v>86</v>
      </c>
      <c r="H27" s="79" t="s">
        <v>87</v>
      </c>
    </row>
    <row r="28">
      <c r="A28" s="93" t="s">
        <v>88</v>
      </c>
      <c r="B28" s="88"/>
      <c r="C28" s="89"/>
      <c r="D28" s="89"/>
      <c r="E28" s="88"/>
      <c r="F28" s="88"/>
      <c r="G28" s="82"/>
      <c r="H28" s="82"/>
    </row>
    <row r="29">
      <c r="A29" s="88"/>
      <c r="B29" s="88"/>
      <c r="C29" s="89"/>
      <c r="D29" s="89"/>
      <c r="E29" s="88"/>
      <c r="F29" s="88"/>
      <c r="G29" s="82"/>
      <c r="H29" s="82"/>
    </row>
    <row r="30">
      <c r="A30" s="69" t="s">
        <v>89</v>
      </c>
      <c r="B30" s="73"/>
      <c r="C30" s="70"/>
      <c r="D30" s="70"/>
      <c r="E30" s="73"/>
      <c r="F30" s="73"/>
      <c r="G30" s="73"/>
      <c r="H30" s="73"/>
    </row>
    <row r="31">
      <c r="A31" s="68" t="s">
        <v>90</v>
      </c>
      <c r="B31" s="67"/>
      <c r="C31" s="75"/>
      <c r="D31" s="75"/>
      <c r="E31" s="67"/>
      <c r="F31" s="67"/>
      <c r="G31" s="97" t="s">
        <v>91</v>
      </c>
      <c r="H31" s="97" t="s">
        <v>91</v>
      </c>
    </row>
    <row r="32">
      <c r="A32" s="68" t="s">
        <v>92</v>
      </c>
      <c r="B32" s="67"/>
      <c r="C32" s="75"/>
      <c r="D32" s="75"/>
      <c r="E32" s="67"/>
      <c r="F32" s="67"/>
      <c r="G32" s="86"/>
      <c r="H32" s="97"/>
    </row>
    <row r="33">
      <c r="A33" s="67"/>
      <c r="B33" s="67"/>
      <c r="C33" s="75"/>
      <c r="D33" s="75"/>
      <c r="E33" s="67"/>
      <c r="F33" s="67"/>
      <c r="G33" s="86"/>
      <c r="H33" s="97"/>
    </row>
    <row r="34">
      <c r="A34" s="69" t="s">
        <v>93</v>
      </c>
      <c r="B34" s="73"/>
      <c r="C34" s="85">
        <v>41122</v>
      </c>
      <c r="D34" s="98">
        <v>17637</v>
      </c>
      <c r="E34" s="85">
        <v>19718</v>
      </c>
      <c r="F34" s="85">
        <v>6007</v>
      </c>
      <c r="G34" s="73"/>
      <c r="H34" s="73"/>
    </row>
    <row customHeight="true" ht="20" r="35">
      <c r="A35" s="68" t="s">
        <v>94</v>
      </c>
      <c r="B35" s="67"/>
      <c r="C35" s="99">
        <f>C34/583463</f>
      </c>
      <c r="D35" s="100">
        <f>D34/478479</f>
      </c>
      <c r="E35" s="99">
        <f>E34/196098</f>
      </c>
      <c r="F35" s="99">
        <f>F34/267424</f>
      </c>
      <c r="G35" s="86"/>
      <c r="H35" s="86"/>
    </row>
    <row customHeight="true" ht="20" r="36">
      <c r="A36" s="68" t="s">
        <v>95</v>
      </c>
      <c r="B36" s="67"/>
      <c r="C36" s="78">
        <v>249</v>
      </c>
      <c r="D36" s="101">
        <v>89</v>
      </c>
      <c r="E36" s="78">
        <v>72</v>
      </c>
      <c r="F36" s="78">
        <v>84</v>
      </c>
      <c r="G36" s="86"/>
      <c r="H36" s="86"/>
    </row>
    <row r="37">
      <c r="A37" s="68" t="s">
        <v>96</v>
      </c>
      <c r="B37" s="67"/>
      <c r="C37" s="78">
        <f>4328+4542</f>
      </c>
      <c r="D37" s="102">
        <f>1963+1430</f>
      </c>
      <c r="E37" s="101">
        <f t="shared" ref="E37:E38" si="0">C37-D37-F37</f>
      </c>
      <c r="F37" s="78">
        <f>1054+687</f>
      </c>
      <c r="G37" s="86"/>
      <c r="H37" s="86"/>
    </row>
    <row customHeight="true" ht="20" r="38">
      <c r="A38" s="68" t="s">
        <v>97</v>
      </c>
      <c r="B38" s="103"/>
      <c r="C38" s="78">
        <v>32003</v>
      </c>
      <c r="D38" s="101">
        <v>14155</v>
      </c>
      <c r="E38" s="101">
        <f t="shared" si="0"/>
      </c>
      <c r="F38" s="78">
        <v>4182</v>
      </c>
      <c r="G38" s="86"/>
      <c r="H38" s="86"/>
    </row>
    <row customHeight="true" ht="20" r="39">
      <c r="A39" s="104"/>
      <c r="B39" s="103"/>
      <c r="C39" s="105"/>
      <c r="D39" s="105"/>
      <c r="E39" s="103"/>
      <c r="F39" s="103"/>
      <c r="G39" s="86"/>
      <c r="H39" s="86"/>
    </row>
    <row r="40">
      <c r="A40" s="90" t="s">
        <v>98</v>
      </c>
      <c r="B40" s="91"/>
      <c r="C40" s="92"/>
      <c r="D40" s="92"/>
      <c r="E40" s="91"/>
      <c r="F40" s="91"/>
      <c r="G40" s="73"/>
      <c r="H40" s="73"/>
    </row>
    <row r="41">
      <c r="A41" s="93" t="s">
        <v>99</v>
      </c>
      <c r="B41" s="89">
        <v>2000</v>
      </c>
      <c r="C41" s="106">
        <v>4106</v>
      </c>
      <c r="D41" s="89"/>
      <c r="E41" s="89"/>
      <c r="G41" s="68" t="s">
        <v>100</v>
      </c>
      <c r="H41" s="67"/>
    </row>
  </sheetData>
  <mergeCells>
    <mergeCell ref="H31:H33"/>
    <mergeCell ref="G3:G13"/>
    <mergeCell ref="H3:H13"/>
    <mergeCell ref="G21:G25"/>
    <mergeCell ref="H21:H25"/>
    <mergeCell ref="G27:G29"/>
    <mergeCell ref="H27:H29"/>
    <mergeCell ref="G15:G19"/>
    <mergeCell ref="H15:H19"/>
    <mergeCell ref="G31:G33"/>
    <mergeCell ref="G36:G39"/>
    <mergeCell ref="H36:H39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3" xSplit="1" ySplit="2"/>
    </sheetView>
  </sheetViews>
  <sheetFormatPr defaultColWidth="13" defaultRowHeight="20"/>
  <cols>
    <col collapsed="false" customWidth="true" hidden="false" max="5" min="5" style="0" width="10"/>
    <col collapsed="false" customWidth="true" hidden="false" max="7" min="7" style="0" width="10"/>
    <col collapsed="false" customWidth="true" hidden="false" max="9" min="9" style="0" width="25"/>
    <col collapsed="false" customWidth="true" hidden="false" max="1" min="1" style="0" width="21"/>
    <col collapsed="false" customWidth="true" hidden="false" max="3" min="3" style="0" width="10"/>
    <col collapsed="false" customWidth="true" hidden="false" max="6" min="6" style="0" width="10"/>
    <col collapsed="false" customWidth="true" hidden="false" max="8" min="8" style="0" width="35"/>
    <col collapsed="false" customWidth="true" hidden="false" max="10" min="10" style="0" width="23"/>
    <col collapsed="false" customWidth="true" hidden="false" max="2" min="2" style="0" width="10"/>
    <col collapsed="false" customWidth="true" hidden="false" max="4" min="4" style="0" width="10"/>
  </cols>
  <sheetData>
    <row r="1">
      <c r="A1" s="107"/>
      <c r="B1" s="108" t="s">
        <v>101</v>
      </c>
      <c r="C1" s="108"/>
      <c r="D1" s="108"/>
      <c r="E1" s="109" t="s">
        <v>102</v>
      </c>
      <c r="F1" s="109"/>
      <c r="G1" s="110"/>
      <c r="H1" s="111" t="s">
        <v>103</v>
      </c>
      <c r="I1" s="112" t="s">
        <v>104</v>
      </c>
      <c r="J1" s="112" t="s">
        <v>105</v>
      </c>
    </row>
    <row r="2">
      <c r="A2" s="113"/>
      <c r="B2" s="113" t="s">
        <v>106</v>
      </c>
      <c r="C2" s="113" t="s">
        <v>107</v>
      </c>
      <c r="D2" s="114" t="s">
        <v>108</v>
      </c>
      <c r="E2" s="115" t="s">
        <v>109</v>
      </c>
      <c r="F2" s="115" t="s">
        <v>110</v>
      </c>
      <c r="G2" s="115" t="s">
        <v>111</v>
      </c>
      <c r="H2" s="116" t="s">
        <v>112</v>
      </c>
      <c r="I2" s="112" t="s">
        <v>113</v>
      </c>
      <c r="J2" s="112" t="s">
        <v>114</v>
      </c>
    </row>
    <row r="3">
      <c r="A3" s="117" t="s">
        <v>115</v>
      </c>
      <c r="B3" s="118">
        <v>1.38</v>
      </c>
      <c r="C3" s="118">
        <v>0.222</v>
      </c>
      <c r="D3" s="119">
        <v>0.161</v>
      </c>
      <c r="E3" s="118">
        <f>E7+E15</f>
      </c>
      <c r="F3" s="118">
        <f>F7+F15</f>
      </c>
      <c r="G3" s="120">
        <f>F3/E3-1</f>
      </c>
      <c r="H3" s="121"/>
      <c r="I3" s="122"/>
      <c r="J3" s="122"/>
    </row>
    <row r="4">
      <c r="A4" s="123" t="s">
        <v>116</v>
      </c>
      <c r="B4" s="124">
        <v>0.141</v>
      </c>
      <c r="C4" s="124">
        <v>0.176</v>
      </c>
      <c r="D4" s="125">
        <v>1.249</v>
      </c>
      <c r="E4" s="124"/>
      <c r="F4" s="124"/>
      <c r="G4" s="124"/>
      <c r="H4" s="121"/>
      <c r="I4" s="122"/>
      <c r="J4" s="122"/>
    </row>
    <row r="5">
      <c r="A5" s="126" t="s">
        <v>117</v>
      </c>
      <c r="B5" s="124">
        <v>6</v>
      </c>
      <c r="C5" s="124">
        <v>7</v>
      </c>
      <c r="D5" s="124"/>
      <c r="E5" s="124">
        <v>4</v>
      </c>
      <c r="F5" s="124">
        <v>4</v>
      </c>
      <c r="G5" s="127">
        <v>0</v>
      </c>
      <c r="H5" s="121"/>
      <c r="I5" s="122"/>
      <c r="J5" s="122"/>
    </row>
    <row r="6">
      <c r="A6" s="126" t="s">
        <v>118</v>
      </c>
      <c r="B6" s="124">
        <v>6</v>
      </c>
      <c r="C6" s="124">
        <v>6</v>
      </c>
      <c r="D6" s="124"/>
      <c r="E6" s="124">
        <v>3</v>
      </c>
      <c r="F6" s="124">
        <v>3</v>
      </c>
      <c r="G6" s="127">
        <v>0</v>
      </c>
      <c r="H6" s="121"/>
      <c r="I6" s="122"/>
      <c r="J6" s="122"/>
    </row>
    <row r="7">
      <c r="A7" s="126" t="s">
        <v>119</v>
      </c>
      <c r="B7" s="124">
        <v>0.141</v>
      </c>
      <c r="C7" s="124">
        <v>0.176</v>
      </c>
      <c r="D7" s="124"/>
      <c r="E7" s="124">
        <v>0.06</v>
      </c>
      <c r="F7" s="124">
        <v>0.061</v>
      </c>
      <c r="G7" s="127">
        <v>0.02</v>
      </c>
      <c r="H7" s="121"/>
      <c r="I7" s="122"/>
      <c r="J7" s="122"/>
    </row>
    <row r="8">
      <c r="A8" s="128" t="s">
        <v>120</v>
      </c>
      <c r="B8" s="127">
        <v>0.92</v>
      </c>
      <c r="C8" s="127">
        <v>0.8571</v>
      </c>
      <c r="D8" s="124"/>
      <c r="E8" s="127">
        <v>0.75</v>
      </c>
      <c r="F8" s="127">
        <v>0.75</v>
      </c>
      <c r="G8" s="127">
        <v>0</v>
      </c>
      <c r="H8" s="121"/>
      <c r="I8" s="122"/>
      <c r="J8" s="122"/>
    </row>
    <row r="9">
      <c r="A9" s="128" t="s">
        <v>121</v>
      </c>
      <c r="B9" s="129">
        <v>240</v>
      </c>
      <c r="C9" s="129">
        <v>293.33</v>
      </c>
      <c r="D9" s="124"/>
      <c r="E9" s="130">
        <v>199</v>
      </c>
      <c r="F9" s="130">
        <v>202.33</v>
      </c>
      <c r="G9" s="127">
        <v>0.02</v>
      </c>
      <c r="H9" s="121"/>
      <c r="I9" s="122"/>
      <c r="J9" s="122"/>
    </row>
    <row r="10">
      <c r="A10" s="123" t="s">
        <v>122</v>
      </c>
      <c r="B10" s="131">
        <v>1.239</v>
      </c>
      <c r="C10" s="131">
        <v>0.046</v>
      </c>
      <c r="D10" s="125">
        <v>0.037</v>
      </c>
      <c r="E10" s="124"/>
      <c r="F10" s="124"/>
      <c r="G10" s="124"/>
      <c r="H10" s="121"/>
      <c r="I10" s="122"/>
      <c r="J10" s="122"/>
    </row>
    <row r="11">
      <c r="A11" s="132" t="s">
        <v>123</v>
      </c>
      <c r="B11" s="124">
        <v>373</v>
      </c>
      <c r="C11" s="124">
        <v>11</v>
      </c>
      <c r="D11" s="124"/>
      <c r="E11" s="133">
        <v>4</v>
      </c>
      <c r="F11" s="133">
        <v>4</v>
      </c>
      <c r="G11" s="127">
        <v>0</v>
      </c>
      <c r="H11" s="121"/>
      <c r="I11" s="122"/>
      <c r="J11" s="122"/>
    </row>
    <row r="12">
      <c r="A12" s="132" t="s">
        <v>124</v>
      </c>
      <c r="B12" s="124">
        <v>187</v>
      </c>
      <c r="C12" s="124">
        <v>9</v>
      </c>
      <c r="D12" s="124"/>
      <c r="E12" s="133">
        <v>3</v>
      </c>
      <c r="F12" s="133">
        <v>3</v>
      </c>
      <c r="G12" s="127">
        <v>0</v>
      </c>
      <c r="H12" s="121"/>
      <c r="I12" s="122"/>
      <c r="J12" s="122"/>
    </row>
    <row r="13">
      <c r="A13" s="124" t="s">
        <v>125</v>
      </c>
      <c r="B13" s="124">
        <v>149</v>
      </c>
      <c r="C13" s="124">
        <v>2</v>
      </c>
      <c r="D13" s="124"/>
      <c r="E13" s="124">
        <v>0</v>
      </c>
      <c r="F13" s="133">
        <v>2</v>
      </c>
      <c r="G13" s="124"/>
      <c r="H13" s="121"/>
      <c r="I13" s="122"/>
      <c r="J13" s="122"/>
    </row>
    <row r="14">
      <c r="A14" s="132" t="s">
        <v>118</v>
      </c>
      <c r="B14" s="124">
        <v>124</v>
      </c>
      <c r="C14" s="124">
        <v>2</v>
      </c>
      <c r="D14" s="124"/>
      <c r="E14" s="124">
        <v>0</v>
      </c>
      <c r="F14" s="134">
        <v>2</v>
      </c>
      <c r="G14" s="124"/>
      <c r="H14" s="121"/>
      <c r="I14" s="122"/>
      <c r="J14" s="122"/>
    </row>
    <row r="15">
      <c r="A15" s="132" t="s">
        <v>126</v>
      </c>
      <c r="B15" s="124">
        <v>1.239</v>
      </c>
      <c r="C15" s="124">
        <v>0.05</v>
      </c>
      <c r="D15" s="124"/>
      <c r="E15" s="124">
        <v>0</v>
      </c>
      <c r="F15" s="133">
        <v>0.05</v>
      </c>
      <c r="G15" s="124"/>
      <c r="H15" s="121"/>
      <c r="I15" s="122"/>
      <c r="J15" s="122"/>
    </row>
    <row r="16">
      <c r="A16" s="132" t="s">
        <v>120</v>
      </c>
      <c r="B16" s="127">
        <v>0.83</v>
      </c>
      <c r="C16" s="127">
        <v>1</v>
      </c>
      <c r="D16" s="124"/>
      <c r="E16" s="127">
        <v>0</v>
      </c>
      <c r="F16" s="127">
        <v>1</v>
      </c>
      <c r="G16" s="124"/>
      <c r="H16" s="121"/>
      <c r="I16" s="122"/>
      <c r="J16" s="122"/>
    </row>
    <row r="17">
      <c r="A17" s="132" t="s">
        <v>121</v>
      </c>
      <c r="B17" s="129">
        <v>100</v>
      </c>
      <c r="C17" s="129">
        <v>227.75</v>
      </c>
      <c r="D17" s="124"/>
      <c r="E17" s="127">
        <v>0</v>
      </c>
      <c r="F17" s="133">
        <v>227</v>
      </c>
      <c r="G17" s="124"/>
      <c r="H17" s="121"/>
      <c r="I17" s="122"/>
      <c r="J17" s="122"/>
    </row>
    <row r="18">
      <c r="A18" s="117" t="s">
        <v>127</v>
      </c>
      <c r="B18" s="118">
        <v>3.979</v>
      </c>
      <c r="C18" s="118">
        <v>2.352</v>
      </c>
      <c r="D18" s="119">
        <v>0.591</v>
      </c>
      <c r="E18" s="118">
        <f>E22+E30</f>
      </c>
      <c r="F18" s="118">
        <f>F22+F30</f>
      </c>
      <c r="G18" s="120">
        <f>F18/E18-1</f>
      </c>
      <c r="H18" s="121" t="s">
        <v>128</v>
      </c>
      <c r="I18" s="135" t="s">
        <v>129</v>
      </c>
      <c r="J18" s="135" t="s">
        <v>130</v>
      </c>
    </row>
    <row r="19">
      <c r="A19" s="136" t="s">
        <v>116</v>
      </c>
      <c r="B19" s="124">
        <v>2.536</v>
      </c>
      <c r="C19" s="124">
        <v>2.267</v>
      </c>
      <c r="D19" s="125">
        <v>0.894</v>
      </c>
      <c r="E19" s="124"/>
      <c r="F19" s="124"/>
      <c r="G19" s="124"/>
      <c r="H19" s="121"/>
      <c r="I19" s="137"/>
      <c r="J19" s="137"/>
    </row>
    <row r="20">
      <c r="A20" s="138" t="s">
        <v>117</v>
      </c>
      <c r="B20" s="124">
        <v>115</v>
      </c>
      <c r="C20" s="124">
        <v>124</v>
      </c>
      <c r="D20" s="124"/>
      <c r="E20" s="124">
        <v>87</v>
      </c>
      <c r="F20" s="124">
        <v>83</v>
      </c>
      <c r="G20" s="127">
        <v>-0.05</v>
      </c>
      <c r="H20" s="121"/>
      <c r="I20" s="137"/>
      <c r="J20" s="137"/>
    </row>
    <row r="21">
      <c r="A21" s="138" t="s">
        <v>118</v>
      </c>
      <c r="B21" s="124">
        <v>106</v>
      </c>
      <c r="C21" s="124">
        <v>124</v>
      </c>
      <c r="D21" s="124"/>
      <c r="E21" s="139">
        <v>97</v>
      </c>
      <c r="F21" s="139">
        <v>91</v>
      </c>
      <c r="G21" s="127">
        <v>-0.06</v>
      </c>
      <c r="H21" s="121"/>
      <c r="I21" s="137"/>
      <c r="J21" s="137"/>
    </row>
    <row r="22">
      <c r="A22" s="138" t="s">
        <v>126</v>
      </c>
      <c r="B22" s="124">
        <v>2.536</v>
      </c>
      <c r="C22" s="124">
        <v>2.267</v>
      </c>
      <c r="D22" s="124"/>
      <c r="E22" s="124">
        <v>0.754</v>
      </c>
      <c r="F22" s="124">
        <v>0.996</v>
      </c>
      <c r="G22" s="127">
        <v>0.32</v>
      </c>
      <c r="H22" s="121"/>
      <c r="I22" s="137"/>
      <c r="J22" s="137"/>
    </row>
    <row r="23">
      <c r="A23" s="140" t="s">
        <v>120</v>
      </c>
      <c r="B23" s="127">
        <v>0.92</v>
      </c>
      <c r="C23" s="127">
        <v>1</v>
      </c>
      <c r="D23" s="124"/>
      <c r="E23" s="127">
        <v>1.11</v>
      </c>
      <c r="F23" s="127">
        <v>1.1</v>
      </c>
      <c r="G23" s="127">
        <v>-0.02</v>
      </c>
      <c r="H23" s="121"/>
      <c r="I23" s="137"/>
      <c r="J23" s="137"/>
    </row>
    <row r="24">
      <c r="A24" s="140" t="s">
        <v>121</v>
      </c>
      <c r="B24" s="130">
        <v>240</v>
      </c>
      <c r="C24" s="130">
        <v>183</v>
      </c>
      <c r="D24" s="124"/>
      <c r="E24" s="130">
        <v>78</v>
      </c>
      <c r="F24" s="130">
        <v>109</v>
      </c>
      <c r="G24" s="127">
        <v>0.41</v>
      </c>
      <c r="H24" s="121"/>
      <c r="I24" s="137"/>
      <c r="J24" s="137"/>
    </row>
    <row r="25">
      <c r="A25" s="123" t="s">
        <v>122</v>
      </c>
      <c r="B25" s="124">
        <v>1.443</v>
      </c>
      <c r="C25" s="124">
        <v>0.085</v>
      </c>
      <c r="D25" s="125">
        <v>0.059</v>
      </c>
      <c r="E25" s="124"/>
      <c r="F25" s="124"/>
      <c r="G25" s="124"/>
      <c r="H25" s="121"/>
      <c r="I25" s="137"/>
      <c r="J25" s="137"/>
    </row>
    <row r="26">
      <c r="A26" s="124" t="s">
        <v>131</v>
      </c>
      <c r="B26" s="124">
        <v>435</v>
      </c>
      <c r="C26" s="124">
        <v>149</v>
      </c>
      <c r="D26" s="124"/>
      <c r="E26" s="124">
        <v>50</v>
      </c>
      <c r="F26" s="124">
        <v>64</v>
      </c>
      <c r="G26" s="127">
        <v>0.28</v>
      </c>
      <c r="H26" s="121"/>
      <c r="I26" s="137"/>
      <c r="J26" s="137"/>
    </row>
    <row r="27">
      <c r="A27" s="138" t="s">
        <v>132</v>
      </c>
      <c r="B27" s="124">
        <v>217</v>
      </c>
      <c r="C27" s="124">
        <v>140</v>
      </c>
      <c r="D27" s="124"/>
      <c r="E27" s="124">
        <v>48</v>
      </c>
      <c r="F27" s="124">
        <v>62</v>
      </c>
      <c r="G27" s="127">
        <v>0.29</v>
      </c>
      <c r="H27" s="121"/>
      <c r="I27" s="137"/>
      <c r="J27" s="137"/>
    </row>
    <row r="28">
      <c r="A28" s="124" t="s">
        <v>133</v>
      </c>
      <c r="B28" s="124">
        <v>174</v>
      </c>
      <c r="C28" s="124">
        <v>66</v>
      </c>
      <c r="D28" s="124"/>
      <c r="E28" s="134">
        <v>31</v>
      </c>
      <c r="F28" s="134">
        <v>45</v>
      </c>
      <c r="G28" s="127">
        <v>0.45</v>
      </c>
      <c r="H28" s="121"/>
      <c r="I28" s="137"/>
      <c r="J28" s="137"/>
    </row>
    <row r="29">
      <c r="A29" s="138" t="s">
        <v>118</v>
      </c>
      <c r="B29" s="124">
        <v>144</v>
      </c>
      <c r="C29" s="124">
        <v>29</v>
      </c>
      <c r="D29" s="124"/>
      <c r="E29" s="124">
        <v>15</v>
      </c>
      <c r="F29" s="124">
        <v>26</v>
      </c>
      <c r="G29" s="127">
        <v>0.73</v>
      </c>
      <c r="H29" s="121"/>
      <c r="I29" s="137"/>
      <c r="J29" s="137"/>
    </row>
    <row r="30">
      <c r="A30" s="124" t="s">
        <v>134</v>
      </c>
      <c r="B30" s="124">
        <v>1.443</v>
      </c>
      <c r="C30" s="124">
        <v>0.085</v>
      </c>
      <c r="D30" s="124"/>
      <c r="E30" s="124">
        <v>0.039</v>
      </c>
      <c r="F30" s="124">
        <v>0.041</v>
      </c>
      <c r="G30" s="127">
        <v>0.07</v>
      </c>
      <c r="H30" s="121"/>
      <c r="I30" s="137"/>
      <c r="J30" s="137"/>
    </row>
    <row r="31">
      <c r="A31" s="141" t="s">
        <v>135</v>
      </c>
      <c r="B31" s="127">
        <v>0.5</v>
      </c>
      <c r="C31" s="127">
        <v>0.9396</v>
      </c>
      <c r="D31" s="124"/>
      <c r="E31" s="127">
        <v>0.96</v>
      </c>
      <c r="F31" s="127">
        <v>0.9688</v>
      </c>
      <c r="G31" s="127">
        <v>0.01</v>
      </c>
      <c r="H31" s="121"/>
      <c r="I31" s="137"/>
      <c r="J31" s="137"/>
    </row>
    <row r="32">
      <c r="A32" s="141" t="s">
        <v>136</v>
      </c>
      <c r="B32" s="127">
        <v>0.8</v>
      </c>
      <c r="C32" s="127">
        <v>0.4714</v>
      </c>
      <c r="D32" s="124"/>
      <c r="E32" s="127">
        <v>0.6458</v>
      </c>
      <c r="F32" s="127">
        <v>0.7258</v>
      </c>
      <c r="G32" s="127">
        <v>0.12</v>
      </c>
      <c r="H32" s="121"/>
      <c r="I32" s="137"/>
      <c r="J32" s="137"/>
    </row>
    <row r="33">
      <c r="A33" s="140" t="s">
        <v>120</v>
      </c>
      <c r="B33" s="127">
        <v>0.83</v>
      </c>
      <c r="C33" s="127">
        <v>0.4394</v>
      </c>
      <c r="D33" s="124"/>
      <c r="E33" s="127">
        <v>0.48</v>
      </c>
      <c r="F33" s="127">
        <v>0.58</v>
      </c>
      <c r="G33" s="127">
        <v>0.19</v>
      </c>
      <c r="H33" s="121"/>
      <c r="I33" s="137"/>
      <c r="J33" s="137"/>
    </row>
    <row r="34">
      <c r="A34" s="140" t="s">
        <v>121</v>
      </c>
      <c r="B34" s="129">
        <v>100</v>
      </c>
      <c r="C34" s="129">
        <v>29.41</v>
      </c>
      <c r="D34" s="124"/>
      <c r="E34" s="130">
        <v>26</v>
      </c>
      <c r="F34" s="130">
        <v>16</v>
      </c>
      <c r="G34" s="127">
        <v>-0.38</v>
      </c>
      <c r="H34" s="121"/>
      <c r="I34" s="137"/>
      <c r="J34" s="137"/>
    </row>
    <row r="35">
      <c r="A35" s="117" t="s">
        <v>137</v>
      </c>
      <c r="B35" s="118">
        <v>11.907</v>
      </c>
      <c r="C35" s="118">
        <v>5.784</v>
      </c>
      <c r="D35" s="119">
        <v>0.486</v>
      </c>
      <c r="E35" s="118">
        <f>E39+E50</f>
      </c>
      <c r="F35" s="118">
        <f>F39+F50</f>
      </c>
      <c r="G35" s="120">
        <f>F35/E35-1</f>
      </c>
      <c r="H35" s="116" t="s">
        <v>138</v>
      </c>
      <c r="I35" s="142" t="s">
        <v>139</v>
      </c>
      <c r="J35" s="142" t="s">
        <v>140</v>
      </c>
    </row>
    <row r="36">
      <c r="A36" s="123" t="s">
        <v>116</v>
      </c>
      <c r="B36" s="124">
        <v>7.748</v>
      </c>
      <c r="C36" s="124">
        <v>5.025</v>
      </c>
      <c r="D36" s="125">
        <v>0.649</v>
      </c>
      <c r="E36" s="124"/>
      <c r="F36" s="124"/>
      <c r="G36" s="124"/>
      <c r="H36" s="121"/>
      <c r="I36" s="137"/>
      <c r="J36" s="137"/>
    </row>
    <row r="37">
      <c r="A37" s="138" t="s">
        <v>117</v>
      </c>
      <c r="B37" s="124">
        <v>351</v>
      </c>
      <c r="C37" s="124">
        <v>418</v>
      </c>
      <c r="D37" s="131"/>
      <c r="E37" s="124">
        <v>319</v>
      </c>
      <c r="F37" s="124">
        <v>325</v>
      </c>
      <c r="G37" s="127">
        <v>0.018808777429467183</v>
      </c>
      <c r="H37" s="121"/>
      <c r="I37" s="137"/>
      <c r="J37" s="137"/>
    </row>
    <row r="38">
      <c r="A38" s="138" t="s">
        <v>118</v>
      </c>
      <c r="B38" s="124">
        <v>323</v>
      </c>
      <c r="C38" s="124">
        <v>417</v>
      </c>
      <c r="D38" s="131"/>
      <c r="E38" s="139">
        <v>339</v>
      </c>
      <c r="F38" s="139">
        <v>337</v>
      </c>
      <c r="G38" s="127">
        <v>-0.005899705014749235</v>
      </c>
      <c r="H38" s="121"/>
      <c r="I38" s="137"/>
      <c r="J38" s="137"/>
    </row>
    <row r="39">
      <c r="A39" s="124" t="s">
        <v>126</v>
      </c>
      <c r="B39" s="124">
        <v>7.748</v>
      </c>
      <c r="C39" s="124">
        <v>5.025</v>
      </c>
      <c r="D39" s="131"/>
      <c r="E39" s="124">
        <v>1.63925</v>
      </c>
      <c r="F39" s="124">
        <v>2.15835</v>
      </c>
      <c r="G39" s="127">
        <v>0.31666920847948754</v>
      </c>
      <c r="H39" s="121"/>
      <c r="I39" s="137"/>
      <c r="J39" s="137"/>
    </row>
    <row r="40">
      <c r="A40" s="140" t="s">
        <v>120</v>
      </c>
      <c r="B40" s="127">
        <v>0.92</v>
      </c>
      <c r="C40" s="127">
        <v>0.9976</v>
      </c>
      <c r="D40" s="131"/>
      <c r="E40" s="127">
        <v>1.0626959247648904</v>
      </c>
      <c r="F40" s="127">
        <v>1.0369230769230768</v>
      </c>
      <c r="G40" s="127">
        <v>-0.024252325845246392</v>
      </c>
      <c r="H40" s="121"/>
      <c r="I40" s="137"/>
      <c r="J40" s="137"/>
    </row>
    <row r="41">
      <c r="A41" s="140" t="s">
        <v>121</v>
      </c>
      <c r="B41" s="129">
        <v>240</v>
      </c>
      <c r="C41" s="129">
        <v>120</v>
      </c>
      <c r="D41" s="131"/>
      <c r="E41" s="130">
        <v>48.35545722713864</v>
      </c>
      <c r="F41" s="130">
        <v>64.0459940652819</v>
      </c>
      <c r="G41" s="127">
        <v>0.32448326906393565</v>
      </c>
      <c r="H41" s="121"/>
      <c r="I41" s="137"/>
      <c r="J41" s="137"/>
    </row>
    <row r="42">
      <c r="A42" s="123" t="s">
        <v>122</v>
      </c>
      <c r="B42" s="124">
        <v>4.159</v>
      </c>
      <c r="C42" s="124">
        <v>0.76</v>
      </c>
      <c r="D42" s="125">
        <v>0.183</v>
      </c>
      <c r="E42" s="124"/>
      <c r="F42" s="124"/>
      <c r="G42" s="124"/>
      <c r="H42" s="121"/>
      <c r="I42" s="137"/>
      <c r="J42" s="137"/>
    </row>
    <row r="43">
      <c r="A43" s="138" t="s">
        <v>141</v>
      </c>
      <c r="B43" s="143">
        <v>78289</v>
      </c>
      <c r="C43" s="124">
        <v>15773582</v>
      </c>
      <c r="D43" s="131"/>
      <c r="E43" s="144">
        <v>5372705</v>
      </c>
      <c r="F43" s="144">
        <v>8274861</v>
      </c>
      <c r="G43" s="145">
        <v>0.5401666385926642</v>
      </c>
      <c r="H43" s="121"/>
      <c r="I43" s="137"/>
      <c r="J43" s="137"/>
    </row>
    <row r="44">
      <c r="A44" s="124" t="s">
        <v>142</v>
      </c>
      <c r="B44" s="143">
        <v>1566</v>
      </c>
      <c r="C44" s="124">
        <v>366380</v>
      </c>
      <c r="D44" s="131"/>
      <c r="E44" s="144">
        <v>151083</v>
      </c>
      <c r="F44" s="144">
        <v>192993</v>
      </c>
      <c r="G44" s="145">
        <v>0.2773971922717977</v>
      </c>
      <c r="H44" s="121"/>
      <c r="I44" s="137"/>
      <c r="J44" s="137"/>
    </row>
    <row r="45">
      <c r="A45" s="124" t="s">
        <v>143</v>
      </c>
      <c r="B45" s="143">
        <v>19968</v>
      </c>
      <c r="C45" s="143">
        <v>8394</v>
      </c>
      <c r="D45" s="131"/>
      <c r="E45" s="143">
        <v>3377</v>
      </c>
      <c r="F45" s="143">
        <v>4334</v>
      </c>
      <c r="G45" s="127">
        <v>0.28338762214983704</v>
      </c>
      <c r="H45" s="121"/>
      <c r="I45" s="137"/>
      <c r="J45" s="137"/>
    </row>
    <row r="46">
      <c r="A46" s="124" t="s">
        <v>131</v>
      </c>
      <c r="B46" s="143">
        <v>1253</v>
      </c>
      <c r="C46" s="124">
        <v>77</v>
      </c>
      <c r="D46" s="131"/>
      <c r="E46" s="124">
        <v>32</v>
      </c>
      <c r="F46" s="124">
        <v>31</v>
      </c>
      <c r="G46" s="127">
        <v>-0.03125</v>
      </c>
      <c r="H46" s="121"/>
      <c r="I46" s="137"/>
      <c r="J46" s="137"/>
    </row>
    <row r="47">
      <c r="A47" s="124" t="s">
        <v>132</v>
      </c>
      <c r="B47" s="124">
        <v>626</v>
      </c>
      <c r="C47" s="124">
        <v>78</v>
      </c>
      <c r="D47" s="131"/>
      <c r="E47" s="124">
        <v>33</v>
      </c>
      <c r="F47" s="124">
        <v>32</v>
      </c>
      <c r="G47" s="127">
        <v>-0.030303030303030276</v>
      </c>
      <c r="H47" s="121"/>
      <c r="I47" s="137"/>
      <c r="J47" s="137"/>
    </row>
    <row r="48">
      <c r="A48" s="124" t="s">
        <v>133</v>
      </c>
      <c r="B48" s="124">
        <v>501</v>
      </c>
      <c r="C48" s="124">
        <v>81</v>
      </c>
      <c r="D48" s="131"/>
      <c r="E48" s="124">
        <v>35</v>
      </c>
      <c r="F48" s="124">
        <v>65</v>
      </c>
      <c r="G48" s="127">
        <v>0.8571428571428572</v>
      </c>
      <c r="H48" s="121"/>
      <c r="I48" s="137"/>
      <c r="J48" s="137"/>
    </row>
    <row r="49">
      <c r="A49" s="124" t="s">
        <v>118</v>
      </c>
      <c r="B49" s="124">
        <v>416</v>
      </c>
      <c r="C49" s="124">
        <v>48</v>
      </c>
      <c r="D49" s="131"/>
      <c r="E49" s="134">
        <v>24</v>
      </c>
      <c r="F49" s="134">
        <v>44</v>
      </c>
      <c r="G49" s="127">
        <v>0.8333333333333333</v>
      </c>
      <c r="H49" s="121"/>
      <c r="I49" s="137"/>
      <c r="J49" s="137"/>
    </row>
    <row r="50">
      <c r="A50" s="124" t="s">
        <v>126</v>
      </c>
      <c r="B50" s="124">
        <v>4.159</v>
      </c>
      <c r="C50" s="124">
        <v>0.7597</v>
      </c>
      <c r="D50" s="131"/>
      <c r="E50" s="124">
        <v>0.2066</v>
      </c>
      <c r="F50" s="124">
        <v>0.4939</v>
      </c>
      <c r="G50" s="127">
        <v>1.3906098741529527</v>
      </c>
      <c r="H50" s="121"/>
      <c r="I50" s="137"/>
      <c r="J50" s="137"/>
    </row>
    <row r="51">
      <c r="A51" s="141" t="s">
        <v>144</v>
      </c>
      <c r="B51" s="127">
        <v>0.02</v>
      </c>
      <c r="C51" s="127">
        <v>0.02322744447012733</v>
      </c>
      <c r="D51" s="131"/>
      <c r="E51" s="127">
        <v>0.019387336242215027</v>
      </c>
      <c r="F51" s="127">
        <v>0.02332280868524559</v>
      </c>
      <c r="G51" s="127">
        <v>0.2029919115170269</v>
      </c>
      <c r="H51" s="121"/>
      <c r="I51" s="137"/>
      <c r="J51" s="137"/>
    </row>
    <row r="52">
      <c r="A52" s="141" t="s">
        <v>145</v>
      </c>
      <c r="B52" s="127">
        <v>0.8</v>
      </c>
      <c r="C52" s="127">
        <v>0.00021016431027894535</v>
      </c>
      <c r="D52" s="131"/>
      <c r="E52" s="127">
        <v>0.00026763412999163583</v>
      </c>
      <c r="F52" s="127">
        <v>0.00016062758752908137</v>
      </c>
      <c r="G52" s="133">
        <v>-0.39982397785326806</v>
      </c>
      <c r="H52" s="121"/>
      <c r="I52" s="137"/>
      <c r="J52" s="137"/>
    </row>
    <row r="53">
      <c r="A53" s="141" t="s">
        <v>135</v>
      </c>
      <c r="B53" s="127">
        <v>0.5</v>
      </c>
      <c r="C53" s="127">
        <v>1.0129870129870129</v>
      </c>
      <c r="D53" s="131"/>
      <c r="E53" s="127">
        <v>1.03125</v>
      </c>
      <c r="F53" s="127">
        <v>1.032258064516129</v>
      </c>
      <c r="G53" s="127">
        <v>0.0009775171065493637</v>
      </c>
      <c r="H53" s="121"/>
      <c r="I53" s="137"/>
      <c r="J53" s="137"/>
    </row>
    <row r="54">
      <c r="A54" s="141" t="s">
        <v>136</v>
      </c>
      <c r="B54" s="127">
        <v>0.8</v>
      </c>
      <c r="C54" s="127">
        <v>1.0384615384615385</v>
      </c>
      <c r="D54" s="131"/>
      <c r="E54" s="127">
        <v>1.0606060606060606</v>
      </c>
      <c r="F54" s="127">
        <v>2.03125</v>
      </c>
      <c r="G54" s="127">
        <v>0.9151785714285716</v>
      </c>
      <c r="H54" s="121"/>
      <c r="I54" s="137"/>
      <c r="J54" s="137"/>
    </row>
    <row r="55">
      <c r="A55" s="140" t="s">
        <v>120</v>
      </c>
      <c r="B55" s="127">
        <v>0.83</v>
      </c>
      <c r="C55" s="127">
        <v>0.5925925925925926</v>
      </c>
      <c r="D55" s="131"/>
      <c r="E55" s="127">
        <v>0.6857142857142857</v>
      </c>
      <c r="F55" s="127">
        <v>0.676923076923077</v>
      </c>
      <c r="G55" s="127">
        <v>-0.012820512820512775</v>
      </c>
      <c r="H55" s="121"/>
      <c r="I55" s="137"/>
      <c r="J55" s="137"/>
    </row>
    <row r="56">
      <c r="A56" s="140" t="s">
        <v>121</v>
      </c>
      <c r="B56" s="129">
        <v>100</v>
      </c>
      <c r="C56" s="129">
        <v>158.27083333333334</v>
      </c>
      <c r="D56" s="131"/>
      <c r="E56" s="130">
        <v>86.08333333333334</v>
      </c>
      <c r="F56" s="130">
        <v>112.25</v>
      </c>
      <c r="G56" s="127">
        <v>0.3039690222652467</v>
      </c>
      <c r="H56" s="121"/>
      <c r="I56" s="137"/>
      <c r="J56" s="137"/>
    </row>
    <row r="57">
      <c r="A57" s="117" t="s">
        <v>146</v>
      </c>
      <c r="B57" s="118">
        <v>5.128</v>
      </c>
      <c r="C57" s="118">
        <v>2.578</v>
      </c>
      <c r="D57" s="119">
        <v>0.503</v>
      </c>
      <c r="E57" s="146">
        <f>E62+E69+E77</f>
      </c>
      <c r="F57" s="146">
        <f>F62+F69+F77</f>
      </c>
      <c r="G57" s="147">
        <f>F57/E57-1</f>
      </c>
      <c r="H57" s="116" t="s">
        <v>147</v>
      </c>
      <c r="I57" s="135"/>
      <c r="J57" s="137"/>
    </row>
    <row r="58">
      <c r="A58" s="148" t="s">
        <v>148</v>
      </c>
      <c r="B58" s="124">
        <v>0.93</v>
      </c>
      <c r="C58" s="124">
        <v>0.119</v>
      </c>
      <c r="D58" s="125">
        <v>0.128</v>
      </c>
      <c r="E58" s="149">
        <v>0.009</v>
      </c>
      <c r="F58" s="149">
        <v>0.104</v>
      </c>
      <c r="G58" s="150"/>
      <c r="H58" s="121"/>
      <c r="I58" s="137"/>
      <c r="J58" s="137"/>
    </row>
    <row r="59">
      <c r="A59" s="131" t="s">
        <v>149</v>
      </c>
      <c r="B59" s="124">
        <v>310</v>
      </c>
      <c r="C59" s="124">
        <v>142</v>
      </c>
      <c r="D59" s="131"/>
      <c r="E59" s="149">
        <v>144</v>
      </c>
      <c r="F59" s="150">
        <v>145</v>
      </c>
      <c r="G59" s="151">
        <v>0.01</v>
      </c>
      <c r="H59" s="121"/>
      <c r="I59" s="137"/>
      <c r="J59" s="137"/>
    </row>
    <row r="60">
      <c r="A60" s="131" t="s">
        <v>150</v>
      </c>
      <c r="B60" s="124">
        <v>248</v>
      </c>
      <c r="C60" s="124">
        <v>142</v>
      </c>
      <c r="D60" s="131"/>
      <c r="E60" s="149">
        <v>144</v>
      </c>
      <c r="F60" s="150">
        <v>145</v>
      </c>
      <c r="G60" s="151">
        <v>0.01</v>
      </c>
      <c r="H60" s="121"/>
      <c r="I60" s="137"/>
      <c r="J60" s="137"/>
    </row>
    <row r="61">
      <c r="A61" s="131" t="s">
        <v>151</v>
      </c>
      <c r="B61" s="124">
        <v>124</v>
      </c>
      <c r="C61" s="124">
        <v>5</v>
      </c>
      <c r="D61" s="131"/>
      <c r="E61" s="149">
        <v>5</v>
      </c>
      <c r="F61" s="150">
        <v>1</v>
      </c>
      <c r="G61" s="151">
        <v>-0.8</v>
      </c>
      <c r="H61" s="121"/>
      <c r="I61" s="137"/>
      <c r="J61" s="137"/>
    </row>
    <row r="62">
      <c r="A62" s="131" t="s">
        <v>134</v>
      </c>
      <c r="B62" s="124">
        <v>0.93</v>
      </c>
      <c r="C62" s="124">
        <v>0.119</v>
      </c>
      <c r="D62" s="131"/>
      <c r="E62" s="152">
        <v>0.009</v>
      </c>
      <c r="F62" s="153">
        <v>0.104</v>
      </c>
      <c r="G62" s="150"/>
      <c r="H62" s="121"/>
      <c r="I62" s="137"/>
      <c r="J62" s="137"/>
    </row>
    <row r="63">
      <c r="A63" s="131" t="s">
        <v>152</v>
      </c>
      <c r="B63" s="130">
        <v>75</v>
      </c>
      <c r="C63" s="130">
        <v>237</v>
      </c>
      <c r="D63" s="154"/>
      <c r="E63" s="155">
        <v>18</v>
      </c>
      <c r="F63" s="155">
        <v>1040</v>
      </c>
      <c r="G63" s="151">
        <v>56.46</v>
      </c>
      <c r="H63" s="121"/>
      <c r="I63" s="137"/>
      <c r="J63" s="137"/>
    </row>
    <row r="64">
      <c r="A64" s="131" t="s">
        <v>153</v>
      </c>
      <c r="B64" s="127">
        <v>0.5</v>
      </c>
      <c r="C64" s="127">
        <v>0.0352</v>
      </c>
      <c r="D64" s="131"/>
      <c r="E64" s="156">
        <v>0.03</v>
      </c>
      <c r="F64" s="156">
        <v>0.01</v>
      </c>
      <c r="G64" s="151">
        <v>-0.8</v>
      </c>
      <c r="H64" s="121"/>
      <c r="I64" s="137"/>
      <c r="J64" s="137"/>
    </row>
    <row r="65">
      <c r="A65" s="131" t="s">
        <v>154</v>
      </c>
      <c r="B65" s="127">
        <v>0.8</v>
      </c>
      <c r="C65" s="127">
        <v>1</v>
      </c>
      <c r="D65" s="131"/>
      <c r="E65" s="156">
        <v>1</v>
      </c>
      <c r="F65" s="156">
        <v>1</v>
      </c>
      <c r="G65" s="151">
        <v>0</v>
      </c>
      <c r="H65" s="121"/>
      <c r="I65" s="137"/>
      <c r="J65" s="137"/>
    </row>
    <row r="66">
      <c r="A66" s="123" t="s">
        <v>155</v>
      </c>
      <c r="B66" s="124">
        <v>2.57</v>
      </c>
      <c r="C66" s="124">
        <v>1.9</v>
      </c>
      <c r="D66" s="125">
        <v>0.739</v>
      </c>
      <c r="E66" s="149"/>
      <c r="F66" s="149"/>
      <c r="G66" s="149"/>
      <c r="H66" s="121"/>
      <c r="I66" s="137"/>
      <c r="J66" s="137"/>
    </row>
    <row r="67">
      <c r="A67" s="157" t="s">
        <v>156</v>
      </c>
      <c r="B67" s="124">
        <v>93</v>
      </c>
      <c r="C67" s="124">
        <v>56</v>
      </c>
      <c r="D67" s="131"/>
      <c r="E67" s="149">
        <v>45</v>
      </c>
      <c r="F67" s="150">
        <v>45</v>
      </c>
      <c r="G67" s="151">
        <v>0</v>
      </c>
      <c r="H67" s="121"/>
      <c r="I67" s="137"/>
      <c r="J67" s="137"/>
    </row>
    <row r="68">
      <c r="A68" s="157" t="s">
        <v>118</v>
      </c>
      <c r="B68" s="124">
        <v>86</v>
      </c>
      <c r="C68" s="124">
        <v>51</v>
      </c>
      <c r="D68" s="131"/>
      <c r="E68" s="149">
        <v>43</v>
      </c>
      <c r="F68" s="150">
        <v>44</v>
      </c>
      <c r="G68" s="151">
        <v>0.02</v>
      </c>
      <c r="H68" s="121"/>
      <c r="I68" s="137"/>
      <c r="J68" s="137"/>
    </row>
    <row r="69">
      <c r="A69" s="138" t="s">
        <v>134</v>
      </c>
      <c r="B69" s="124">
        <v>2.57</v>
      </c>
      <c r="C69" s="124">
        <v>1.9</v>
      </c>
      <c r="D69" s="131"/>
      <c r="E69" s="149">
        <v>0.542</v>
      </c>
      <c r="F69" s="150">
        <v>0.986</v>
      </c>
      <c r="G69" s="151">
        <v>0.82</v>
      </c>
      <c r="H69" s="121"/>
      <c r="I69" s="137"/>
      <c r="J69" s="137"/>
    </row>
    <row r="70">
      <c r="A70" s="140" t="s">
        <v>157</v>
      </c>
      <c r="B70" s="127">
        <v>0.93</v>
      </c>
      <c r="C70" s="127">
        <v>0.9107</v>
      </c>
      <c r="D70" s="131"/>
      <c r="E70" s="156">
        <v>0.9556</v>
      </c>
      <c r="F70" s="156">
        <v>0.9778</v>
      </c>
      <c r="G70" s="151">
        <v>0.02</v>
      </c>
      <c r="H70" s="121"/>
      <c r="I70" s="137"/>
      <c r="J70" s="137"/>
    </row>
    <row r="71">
      <c r="A71" s="140" t="s">
        <v>121</v>
      </c>
      <c r="B71" s="129">
        <v>226</v>
      </c>
      <c r="C71" s="129">
        <v>372.46</v>
      </c>
      <c r="D71" s="131"/>
      <c r="E71" s="155">
        <v>126</v>
      </c>
      <c r="F71" s="155">
        <v>224</v>
      </c>
      <c r="G71" s="151">
        <v>0.78</v>
      </c>
      <c r="H71" s="121"/>
      <c r="I71" s="137"/>
      <c r="J71" s="137"/>
    </row>
    <row r="72">
      <c r="A72" s="123" t="s">
        <v>158</v>
      </c>
      <c r="B72" s="124">
        <v>1.68</v>
      </c>
      <c r="C72" s="124">
        <v>0.56</v>
      </c>
      <c r="D72" s="125">
        <v>0.333</v>
      </c>
      <c r="E72" s="149">
        <v>0.158</v>
      </c>
      <c r="F72" s="149">
        <v>0.198</v>
      </c>
      <c r="G72" s="151">
        <v>0.25</v>
      </c>
      <c r="H72" s="121"/>
      <c r="I72" s="137"/>
      <c r="J72" s="137"/>
    </row>
    <row r="73">
      <c r="A73" s="124" t="s">
        <v>131</v>
      </c>
      <c r="B73" s="124">
        <v>171</v>
      </c>
      <c r="C73" s="124">
        <v>13</v>
      </c>
      <c r="D73" s="131"/>
      <c r="E73" s="149">
        <v>11</v>
      </c>
      <c r="F73" s="150">
        <v>2</v>
      </c>
      <c r="G73" s="151">
        <v>-0.82</v>
      </c>
      <c r="H73" s="121"/>
      <c r="I73" s="137"/>
      <c r="J73" s="137"/>
    </row>
    <row r="74">
      <c r="A74" s="138" t="s">
        <v>132</v>
      </c>
      <c r="B74" s="124">
        <v>85</v>
      </c>
      <c r="C74" s="124">
        <v>14</v>
      </c>
      <c r="D74" s="131"/>
      <c r="E74" s="149">
        <v>11</v>
      </c>
      <c r="F74" s="150">
        <v>2</v>
      </c>
      <c r="G74" s="151">
        <v>-0.82</v>
      </c>
      <c r="H74" s="121"/>
      <c r="I74" s="137"/>
      <c r="J74" s="137"/>
    </row>
    <row r="75">
      <c r="A75" s="138" t="s">
        <v>159</v>
      </c>
      <c r="B75" s="124">
        <v>68</v>
      </c>
      <c r="C75" s="124">
        <v>118</v>
      </c>
      <c r="D75" s="124"/>
      <c r="E75" s="150">
        <v>93</v>
      </c>
      <c r="F75" s="150">
        <v>92</v>
      </c>
      <c r="G75" s="151">
        <v>-0.01</v>
      </c>
      <c r="H75" s="121"/>
      <c r="I75" s="137"/>
      <c r="J75" s="137"/>
    </row>
    <row r="76">
      <c r="A76" s="138" t="s">
        <v>118</v>
      </c>
      <c r="B76" s="124">
        <v>57</v>
      </c>
      <c r="C76" s="124">
        <v>63</v>
      </c>
      <c r="D76" s="124"/>
      <c r="E76" s="150">
        <v>50</v>
      </c>
      <c r="F76" s="150">
        <v>46</v>
      </c>
      <c r="G76" s="151">
        <v>-0.08</v>
      </c>
      <c r="H76" s="121"/>
      <c r="I76" s="137"/>
      <c r="J76" s="137"/>
    </row>
    <row r="77">
      <c r="A77" s="138" t="s">
        <v>126</v>
      </c>
      <c r="B77" s="124">
        <v>1.68</v>
      </c>
      <c r="C77" s="124">
        <v>0.56</v>
      </c>
      <c r="D77" s="124"/>
      <c r="E77" s="158">
        <v>0.158</v>
      </c>
      <c r="F77" s="150">
        <v>0.198</v>
      </c>
      <c r="G77" s="151">
        <v>0.25</v>
      </c>
      <c r="H77" s="121"/>
      <c r="I77" s="137"/>
      <c r="J77" s="137"/>
    </row>
    <row r="78">
      <c r="A78" s="141" t="s">
        <v>135</v>
      </c>
      <c r="B78" s="127">
        <v>0.5</v>
      </c>
      <c r="C78" s="127">
        <v>1.0769</v>
      </c>
      <c r="D78" s="124"/>
      <c r="E78" s="151">
        <v>1</v>
      </c>
      <c r="F78" s="151">
        <v>1</v>
      </c>
      <c r="G78" s="151">
        <v>0</v>
      </c>
      <c r="H78" s="121"/>
      <c r="I78" s="137"/>
      <c r="J78" s="137"/>
    </row>
    <row customHeight="true" hidden="true" ht="20" r="79">
      <c r="A79" s="141" t="s">
        <v>136</v>
      </c>
      <c r="B79" s="127">
        <v>0.8</v>
      </c>
      <c r="C79" s="127">
        <v>8.4286</v>
      </c>
      <c r="D79" s="124"/>
      <c r="E79" s="151">
        <v>8.4545</v>
      </c>
      <c r="F79" s="151">
        <v>46</v>
      </c>
      <c r="G79" s="151">
        <v>4.44</v>
      </c>
      <c r="H79" s="121"/>
      <c r="I79" s="137"/>
      <c r="J79" s="137"/>
    </row>
    <row r="80">
      <c r="A80" s="140" t="s">
        <v>120</v>
      </c>
      <c r="B80" s="127">
        <v>0.83</v>
      </c>
      <c r="C80" s="127">
        <v>0.53</v>
      </c>
      <c r="D80" s="124"/>
      <c r="E80" s="159">
        <v>0.5376</v>
      </c>
      <c r="F80" s="159">
        <v>0.5</v>
      </c>
      <c r="G80" s="151">
        <v>-0.07</v>
      </c>
      <c r="H80" s="121"/>
      <c r="I80" s="137"/>
      <c r="J80" s="137"/>
    </row>
    <row r="81">
      <c r="A81" s="160" t="s">
        <v>121</v>
      </c>
      <c r="B81" s="161">
        <v>226</v>
      </c>
      <c r="C81" s="161">
        <v>89</v>
      </c>
      <c r="D81" s="162"/>
      <c r="E81" s="163">
        <v>32</v>
      </c>
      <c r="F81" s="163">
        <v>43</v>
      </c>
      <c r="G81" s="164">
        <v>0.36</v>
      </c>
      <c r="H81" s="121"/>
      <c r="I81" s="137"/>
      <c r="J81" s="137"/>
    </row>
  </sheetData>
  <mergeCells>
    <mergeCell ref="J57:J81"/>
    <mergeCell ref="I57:I81"/>
    <mergeCell ref="J35:J56"/>
    <mergeCell ref="I35:I56"/>
    <mergeCell ref="J18:J34"/>
    <mergeCell ref="I18:I34"/>
    <mergeCell ref="J2:J17"/>
    <mergeCell ref="I2:I17"/>
    <mergeCell ref="B1:D1"/>
    <mergeCell ref="E1:F1"/>
    <mergeCell ref="H2:H17"/>
    <mergeCell ref="H18:H34"/>
    <mergeCell ref="H35:H56"/>
    <mergeCell ref="H57:H8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sheetData>
    <row r="1">
      <c r="A1" s="165" t="s">
        <v>160</v>
      </c>
      <c r="B1" s="166" t="s">
        <v>161</v>
      </c>
      <c r="C1" s="167"/>
      <c r="D1" s="167"/>
      <c r="E1" s="168" t="s">
        <v>162</v>
      </c>
      <c r="F1" s="169"/>
      <c r="G1" s="169"/>
      <c r="H1" s="169"/>
      <c r="I1" s="169"/>
    </row>
    <row r="2">
      <c r="A2" s="170"/>
      <c r="B2" s="171" t="s">
        <v>163</v>
      </c>
      <c r="C2" s="171" t="s">
        <v>164</v>
      </c>
      <c r="D2" s="171" t="s">
        <v>165</v>
      </c>
      <c r="E2" s="172" t="s">
        <v>166</v>
      </c>
      <c r="F2" s="172" t="s">
        <v>167</v>
      </c>
      <c r="G2" s="172" t="s">
        <v>168</v>
      </c>
      <c r="H2" s="172" t="s">
        <v>169</v>
      </c>
      <c r="I2" s="173" t="s">
        <v>170</v>
      </c>
    </row>
    <row r="3">
      <c r="A3" s="174" t="s">
        <v>171</v>
      </c>
      <c r="B3" s="175">
        <v>1.3803167837877683</v>
      </c>
      <c r="C3" s="175">
        <v>0.22155</v>
      </c>
      <c r="D3" s="176">
        <v>0.16050663340630986</v>
      </c>
      <c r="E3" s="175">
        <v>0.0556</v>
      </c>
      <c r="F3" s="175">
        <v>0.0597</v>
      </c>
      <c r="G3" s="175">
        <v>0.10625</v>
      </c>
      <c r="H3" s="176">
        <v>0.7797319932998323</v>
      </c>
    </row>
    <row r="4">
      <c r="A4" s="177" t="s">
        <v>172</v>
      </c>
      <c r="B4" s="178">
        <v>0.524520377839352</v>
      </c>
      <c r="C4" s="175">
        <v>0</v>
      </c>
      <c r="D4" s="176">
        <v>0</v>
      </c>
      <c r="E4" s="175">
        <v>0</v>
      </c>
      <c r="F4" s="175">
        <v>0</v>
      </c>
      <c r="G4" s="175">
        <v>0</v>
      </c>
      <c r="H4" s="176" t="str">
        <v>#DIV/0!</v>
      </c>
    </row>
    <row r="5">
      <c r="A5" s="177" t="s">
        <v>173</v>
      </c>
      <c r="B5" s="175">
        <v>0.524520377839352</v>
      </c>
      <c r="C5" s="175">
        <v>0.22135</v>
      </c>
      <c r="D5" s="176">
        <v>0.42200457666068825</v>
      </c>
      <c r="E5" s="175">
        <v>0.0556</v>
      </c>
      <c r="F5" s="175">
        <v>0.0595</v>
      </c>
      <c r="G5" s="175">
        <v>0.10625</v>
      </c>
      <c r="H5" s="176">
        <v>0.7857142857142858</v>
      </c>
    </row>
    <row r="6">
      <c r="A6" s="179" t="s">
        <v>174</v>
      </c>
      <c r="B6" s="180">
        <v>0.3450791959469421</v>
      </c>
      <c r="C6" s="180">
        <v>0.0002</v>
      </c>
      <c r="D6" s="181">
        <v>0.00057957710099322</v>
      </c>
      <c r="E6" s="180">
        <v>0</v>
      </c>
      <c r="F6" s="180">
        <v>0.0002</v>
      </c>
      <c r="G6" s="180">
        <v>0</v>
      </c>
      <c r="H6" s="181">
        <v>-1</v>
      </c>
    </row>
    <row r="7">
      <c r="A7" s="182" t="s">
        <v>175</v>
      </c>
      <c r="B7" s="183">
        <v>4.01867311747089</v>
      </c>
      <c r="C7" s="183">
        <v>2.3272500000000003</v>
      </c>
      <c r="D7" s="184">
        <v>0.5791090571369066</v>
      </c>
      <c r="E7" s="185">
        <v>0.5044</v>
      </c>
      <c r="F7" s="185">
        <v>0.79</v>
      </c>
      <c r="G7" s="185">
        <v>1.03305</v>
      </c>
      <c r="H7" s="176">
        <v>0.30765822784810126</v>
      </c>
    </row>
    <row r="8">
      <c r="A8" s="177" t="s">
        <v>172</v>
      </c>
      <c r="B8" s="175">
        <v>1.511976024394988</v>
      </c>
      <c r="C8" s="175">
        <v>0.0742</v>
      </c>
      <c r="D8" s="176">
        <v>0.04907485224819678</v>
      </c>
      <c r="E8" s="175">
        <v>0.012</v>
      </c>
      <c r="F8" s="175">
        <v>0.0297</v>
      </c>
      <c r="G8" s="175">
        <v>0.0325</v>
      </c>
      <c r="H8" s="176">
        <v>0.09427609427609429</v>
      </c>
    </row>
    <row r="9">
      <c r="A9" s="177" t="s">
        <v>173</v>
      </c>
      <c r="B9" s="175">
        <v>1.511976024394988</v>
      </c>
      <c r="C9" s="175">
        <v>1.5074</v>
      </c>
      <c r="D9" s="176">
        <v>0.9969734808481377</v>
      </c>
      <c r="E9" s="175">
        <v>0.2472</v>
      </c>
      <c r="F9" s="175">
        <v>0.5128</v>
      </c>
      <c r="G9" s="175">
        <v>0.7474</v>
      </c>
      <c r="H9" s="176">
        <v>0.4574882995319811</v>
      </c>
    </row>
    <row r="10">
      <c r="A10" s="186" t="s">
        <v>174</v>
      </c>
      <c r="B10" s="187">
        <v>0.9947210686809131</v>
      </c>
      <c r="C10" s="187">
        <v>0.74565</v>
      </c>
      <c r="D10" s="188">
        <v>0.7496071245266746</v>
      </c>
      <c r="E10" s="187">
        <v>0.2452</v>
      </c>
      <c r="F10" s="187">
        <v>0.2475</v>
      </c>
      <c r="G10" s="187">
        <v>0.25315</v>
      </c>
      <c r="H10" s="188">
        <v>0.022828282828282864</v>
      </c>
    </row>
    <row r="11">
      <c r="A11" s="189" t="s">
        <v>176</v>
      </c>
      <c r="B11" s="190">
        <v>12.026016826514363</v>
      </c>
      <c r="C11" s="190">
        <v>5.7856000000000005</v>
      </c>
      <c r="D11" s="191">
        <v>0.48109029643499235</v>
      </c>
      <c r="E11" s="192">
        <v>1.28745</v>
      </c>
      <c r="F11" s="192">
        <v>1.8466</v>
      </c>
      <c r="G11" s="192">
        <v>2.65345</v>
      </c>
      <c r="H11" s="191">
        <v>0.43693815661215196</v>
      </c>
    </row>
    <row r="12">
      <c r="A12" s="177" t="s">
        <v>172</v>
      </c>
      <c r="B12" s="175">
        <v>4.524639994134117</v>
      </c>
      <c r="C12" s="175">
        <v>1.46725</v>
      </c>
      <c r="D12" s="176">
        <v>0.324279943134081</v>
      </c>
      <c r="E12" s="175">
        <v>0.1294</v>
      </c>
      <c r="F12" s="175">
        <v>0.45185</v>
      </c>
      <c r="G12" s="175">
        <v>0.8868</v>
      </c>
      <c r="H12" s="176">
        <v>0.9625982073697026</v>
      </c>
    </row>
    <row r="13">
      <c r="A13" s="177" t="s">
        <v>173</v>
      </c>
      <c r="B13" s="175">
        <v>4.524639994134117</v>
      </c>
      <c r="C13" s="175">
        <v>1.9221</v>
      </c>
      <c r="D13" s="176">
        <v>0.4248072780357928</v>
      </c>
      <c r="E13" s="175">
        <v>0.31545</v>
      </c>
      <c r="F13" s="175">
        <v>0.6066</v>
      </c>
      <c r="G13" s="175">
        <v>1.00115</v>
      </c>
      <c r="H13" s="176">
        <v>0.6504286185295087</v>
      </c>
    </row>
    <row r="14">
      <c r="A14" s="186" t="s">
        <v>174</v>
      </c>
      <c r="B14" s="187">
        <v>2.9767368382461292</v>
      </c>
      <c r="C14" s="187">
        <v>2.39625</v>
      </c>
      <c r="D14" s="188">
        <v>0.8049922214191606</v>
      </c>
      <c r="E14" s="187">
        <v>0.8426</v>
      </c>
      <c r="F14" s="187">
        <v>0.78815</v>
      </c>
      <c r="G14" s="180">
        <v>0.7655</v>
      </c>
      <c r="H14" s="188">
        <v>-0.028738184355769913</v>
      </c>
    </row>
    <row r="15">
      <c r="A15" s="193" t="s">
        <v>177</v>
      </c>
      <c r="B15" s="190">
        <v>5.18</v>
      </c>
      <c r="C15" s="190">
        <v>2.5781</v>
      </c>
      <c r="D15" s="191">
        <v>0.4977027027027027</v>
      </c>
      <c r="E15" s="192">
        <v>0.57435</v>
      </c>
      <c r="F15" s="192">
        <v>0.6979</v>
      </c>
      <c r="G15" s="185">
        <v>1.28765</v>
      </c>
      <c r="H15" s="191">
        <v>0.8450351053159479</v>
      </c>
    </row>
    <row r="16">
      <c r="A16" s="177" t="s">
        <v>172</v>
      </c>
      <c r="B16" s="175">
        <v>2.57</v>
      </c>
      <c r="C16" s="175">
        <v>1.89955</v>
      </c>
      <c r="D16" s="176">
        <v>0.7391245136186771</v>
      </c>
      <c r="E16" s="194">
        <v>0.3708</v>
      </c>
      <c r="F16" s="194">
        <v>0.53575</v>
      </c>
      <c r="G16" s="194">
        <v>0.986</v>
      </c>
      <c r="H16" s="176">
        <v>0.840410639290714</v>
      </c>
    </row>
    <row r="17">
      <c r="A17" s="177" t="s">
        <v>173</v>
      </c>
      <c r="B17" s="175">
        <v>0.93</v>
      </c>
      <c r="C17" s="175">
        <v>0.11865</v>
      </c>
      <c r="D17" s="176">
        <v>0.12758064516129033</v>
      </c>
      <c r="E17" s="194">
        <v>0.00425</v>
      </c>
      <c r="F17" s="194">
        <v>0.0083</v>
      </c>
      <c r="G17" s="194">
        <v>0.104</v>
      </c>
      <c r="H17" s="176">
        <v>11.53012048192771</v>
      </c>
    </row>
    <row r="18">
      <c r="A18" s="179" t="s">
        <v>174</v>
      </c>
      <c r="B18" s="180">
        <v>1.68</v>
      </c>
      <c r="C18" s="180">
        <v>0.5599</v>
      </c>
      <c r="D18" s="181">
        <v>0.3332738095238095</v>
      </c>
      <c r="E18" s="195">
        <v>0.1993</v>
      </c>
      <c r="F18" s="195">
        <v>0.15385</v>
      </c>
      <c r="G18" s="195">
        <v>0.19765</v>
      </c>
      <c r="H18" s="181">
        <v>0.28469288267793313</v>
      </c>
    </row>
  </sheetData>
  <mergeCells>
    <mergeCell ref="B1:D1"/>
    <mergeCell ref="A1:A2"/>
    <mergeCell ref="E1:I1"/>
  </mergeCells>
  <conditionalFormatting sqref="H15:H15">
    <cfRule priority="1" type="dataBar">
      <dataBar showValue="true">
        <cfvo type="min"/>
        <cfvo type="num" val="1"/>
        <color rgb="FF6D98FD"/>
      </dataBar>
      <extLst>
        <ext xmlns:x14="http://schemas.microsoft.com/office/spreadsheetml/2009/9/main" uri="{B025F937-C7B1-47D3-B67F-A62EFF666E3E}">
          <x14:id>{25595BAE-7E47-4FB7-A883-C9EC6845C8FC}</x14:id>
        </ext>
      </extLst>
    </cfRule>
  </conditionalFormatting>
  <conditionalFormatting sqref="H11:H11">
    <cfRule priority="2" type="dataBar">
      <dataBar showValue="true">
        <cfvo type="min"/>
        <cfvo type="num" val="1"/>
        <color rgb="FF6D98FD"/>
      </dataBar>
      <extLst>
        <ext xmlns:x14="http://schemas.microsoft.com/office/spreadsheetml/2009/9/main" uri="{B025F937-C7B1-47D3-B67F-A62EFF666E3E}">
          <x14:id>{6A2061C8-CA30-47E1-B5A3-1E5324B4B9C0}</x14:id>
        </ext>
      </extLst>
    </cfRule>
  </conditionalFormatting>
  <conditionalFormatting sqref="H7:H7">
    <cfRule priority="3" type="dataBar">
      <dataBar showValue="true">
        <cfvo type="min"/>
        <cfvo type="num" val="1"/>
        <color rgb="FF6D98FD"/>
      </dataBar>
      <extLst>
        <ext xmlns:x14="http://schemas.microsoft.com/office/spreadsheetml/2009/9/main" uri="{B025F937-C7B1-47D3-B67F-A62EFF666E3E}">
          <x14:id>{681B0ECC-AF13-45C2-BC01-0F21A52EB38F}</x14:id>
        </ext>
      </extLst>
    </cfRule>
  </conditionalFormatting>
  <conditionalFormatting sqref="H3:H3">
    <cfRule priority="4" type="dataBar">
      <dataBar showValue="true">
        <cfvo type="min"/>
        <cfvo type="num" val="1"/>
        <color rgb="FF6D98FD"/>
      </dataBar>
      <extLst>
        <ext xmlns:x14="http://schemas.microsoft.com/office/spreadsheetml/2009/9/main" uri="{B025F937-C7B1-47D3-B67F-A62EFF666E3E}">
          <x14:id>{1B9BBEDA-8A74-43F9-B11A-22D34FF9B0AE}</x14:id>
        </ext>
      </extLst>
    </cfRule>
  </conditionalFormatting>
  <conditionalFormatting sqref="H15:H15">
    <cfRule priority="5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{435DB86B-023E-41DE-8848-2DD5E0D68D42}</x14:id>
        </ext>
      </extLst>
    </cfRule>
  </conditionalFormatting>
  <conditionalFormatting sqref="H11:H11">
    <cfRule priority="6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{51CEA84F-7374-4E7D-9AC4-D96AEC8D90EC}</x14:id>
        </ext>
      </extLst>
    </cfRule>
  </conditionalFormatting>
  <conditionalFormatting sqref="H7:H7">
    <cfRule priority="7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{57B08D67-CA4A-4FD3-8A32-F736244D583E}</x14:id>
        </ext>
      </extLst>
    </cfRule>
  </conditionalFormatting>
  <conditionalFormatting sqref="H3:H3">
    <cfRule priority="8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{5B6BA2D9-E4F2-46D1-95E2-EC2A857640A3}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595BAE-7E47-4FB7-A883-C9EC6845C8FC}">
            <x14:dataBar minLength="0" maxLength="100" gradient="false" axisPosition="none">
              <x14:cfvo type="autoMin"/>
              <x14:cfvo type="num">
                <xm:f>1</xm:f>
              </x14:cfvo>
              <x14:negativeFillColor rgb="f76964"/>
            </x14:dataBar>
          </x14:cfRule>
          <xm:sqref>H15:H15</xm:sqref>
        </x14:conditionalFormatting>
        <x14:conditionalFormatting xmlns:xm="http://schemas.microsoft.com/office/excel/2006/main">
          <x14:cfRule type="dataBar" id="{6A2061C8-CA30-47E1-B5A3-1E5324B4B9C0}">
            <x14:dataBar minLength="0" maxLength="100" gradient="false" axisPosition="none">
              <x14:cfvo type="autoMin"/>
              <x14:cfvo type="num">
                <xm:f>1</xm:f>
              </x14:cfvo>
              <x14:negativeFillColor rgb="f76964"/>
            </x14:dataBar>
          </x14:cfRule>
          <xm:sqref>H11:H11</xm:sqref>
        </x14:conditionalFormatting>
        <x14:conditionalFormatting xmlns:xm="http://schemas.microsoft.com/office/excel/2006/main">
          <x14:cfRule type="dataBar" id="{681B0ECC-AF13-45C2-BC01-0F21A52EB38F}">
            <x14:dataBar minLength="0" maxLength="100" gradient="false" axisPosition="none">
              <x14:cfvo type="autoMin"/>
              <x14:cfvo type="num">
                <xm:f>1</xm:f>
              </x14:cfvo>
              <x14:negativeFillColor rgb="f76964"/>
            </x14:dataBar>
          </x14:cfRule>
          <xm:sqref>H7:H7</xm:sqref>
        </x14:conditionalFormatting>
        <x14:conditionalFormatting xmlns:xm="http://schemas.microsoft.com/office/excel/2006/main">
          <x14:cfRule type="dataBar" id="{1B9BBEDA-8A74-43F9-B11A-22D34FF9B0AE}">
            <x14:dataBar minLength="0" maxLength="100" gradient="false" axisPosition="none">
              <x14:cfvo type="autoMin"/>
              <x14:cfvo type="num">
                <xm:f>1</xm:f>
              </x14:cfvo>
              <x14:negativeFillColor rgb="f76964"/>
            </x14:dataBar>
          </x14:cfRule>
          <xm:sqref>H3:H3</xm:sqref>
        </x14:conditionalFormatting>
        <x14:conditionalFormatting xmlns:xm="http://schemas.microsoft.com/office/excel/2006/main">
          <x14:cfRule type="dataBar" id="{435DB86B-023E-41DE-8848-2DD5E0D68D42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H15:H15</xm:sqref>
        </x14:conditionalFormatting>
        <x14:conditionalFormatting xmlns:xm="http://schemas.microsoft.com/office/excel/2006/main">
          <x14:cfRule type="dataBar" id="{51CEA84F-7374-4E7D-9AC4-D96AEC8D90EC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H11:H11</xm:sqref>
        </x14:conditionalFormatting>
        <x14:conditionalFormatting xmlns:xm="http://schemas.microsoft.com/office/excel/2006/main">
          <x14:cfRule type="dataBar" id="{57B08D67-CA4A-4FD3-8A32-F736244D583E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H7:H7</xm:sqref>
        </x14:conditionalFormatting>
        <x14:conditionalFormatting xmlns:xm="http://schemas.microsoft.com/office/excel/2006/main">
          <x14:cfRule type="dataBar" id="{5B6BA2D9-E4F2-46D1-95E2-EC2A857640A3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H3:H3</xm:sqref>
        </x14:conditionalFormatting>
      </x14:conditionalFormattings>
    </ext>
  </extLst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3" min="3" style="0" width="18"/>
    <col collapsed="false" customWidth="true" hidden="false" max="4" min="4" style="0" width="18"/>
    <col collapsed="false" customWidth="true" hidden="false" max="1" min="1" style="0" width="18"/>
    <col collapsed="false" customWidth="true" hidden="false" max="2" min="2" style="0" width="18"/>
  </cols>
  <sheetData>
    <row r="1">
      <c r="A1" s="196" t="s">
        <v>178</v>
      </c>
      <c r="B1" s="197" t="s">
        <v>179</v>
      </c>
      <c r="C1" s="198"/>
      <c r="D1" s="198"/>
      <c r="E1" s="199"/>
      <c r="F1" s="199"/>
      <c r="G1" s="199"/>
      <c r="H1" s="199"/>
    </row>
    <row r="2">
      <c r="A2" s="200"/>
      <c r="B2" s="198" t="s">
        <v>180</v>
      </c>
      <c r="C2" s="198" t="s">
        <v>181</v>
      </c>
      <c r="D2" s="198" t="s">
        <v>182</v>
      </c>
      <c r="E2" s="201" t="s">
        <v>183</v>
      </c>
      <c r="F2" s="201" t="s">
        <v>184</v>
      </c>
      <c r="G2" s="201" t="s">
        <v>185</v>
      </c>
      <c r="H2" s="201" t="s">
        <v>186</v>
      </c>
    </row>
    <row r="3">
      <c r="A3" s="202" t="s">
        <v>187</v>
      </c>
      <c r="B3" s="203">
        <v>1638</v>
      </c>
      <c r="C3" s="203">
        <v>812</v>
      </c>
      <c r="D3" s="204">
        <v>0.49572649572649574</v>
      </c>
      <c r="E3" s="205">
        <v>558</v>
      </c>
      <c r="F3" s="205">
        <v>555</v>
      </c>
      <c r="G3" s="205">
        <v>595</v>
      </c>
      <c r="H3" s="206">
        <v>0.072072072072072</v>
      </c>
    </row>
    <row r="4">
      <c r="A4" s="202" t="s">
        <v>188</v>
      </c>
      <c r="B4" s="207">
        <v>223944.00000000006</v>
      </c>
      <c r="C4" s="207">
        <v>111456</v>
      </c>
      <c r="D4" s="208">
        <v>0.49769585253456206</v>
      </c>
      <c r="E4" s="209">
        <v>24991</v>
      </c>
      <c r="F4" s="209">
        <v>34776</v>
      </c>
      <c r="G4" s="209">
        <v>51529.99999999999</v>
      </c>
      <c r="H4" s="206">
        <v>0.48176903611686206</v>
      </c>
    </row>
    <row r="5">
      <c r="A5" s="210" t="s">
        <v>189</v>
      </c>
      <c r="B5" s="211">
        <v>55986.00000000001</v>
      </c>
      <c r="C5" s="212">
        <v>38621</v>
      </c>
      <c r="D5" s="208">
        <v>0.6898331725788589</v>
      </c>
      <c r="E5" s="213">
        <v>13581</v>
      </c>
      <c r="F5" s="213">
        <v>12472</v>
      </c>
      <c r="G5" s="213">
        <v>12470.000000000002</v>
      </c>
      <c r="H5" s="206">
        <v>-0.00016035920461821007</v>
      </c>
    </row>
    <row r="6">
      <c r="A6" s="210" t="s">
        <v>190</v>
      </c>
      <c r="B6" s="211">
        <v>85098.72</v>
      </c>
      <c r="C6" s="212">
        <v>37993</v>
      </c>
      <c r="D6" s="208">
        <v>0.4464579490737346</v>
      </c>
      <c r="E6" s="213">
        <v>6243</v>
      </c>
      <c r="F6" s="213">
        <v>11885</v>
      </c>
      <c r="G6" s="214">
        <v>19865</v>
      </c>
      <c r="H6" s="215">
        <v>0.6714345814051326</v>
      </c>
    </row>
    <row r="7">
      <c r="A7" s="210" t="s">
        <v>191</v>
      </c>
      <c r="B7" s="211">
        <v>85098.72</v>
      </c>
      <c r="C7" s="212">
        <v>34842</v>
      </c>
      <c r="D7" s="208">
        <v>0.4094303651100745</v>
      </c>
      <c r="E7" s="213">
        <v>5167</v>
      </c>
      <c r="F7" s="213">
        <v>10419</v>
      </c>
      <c r="G7" s="213">
        <v>19195</v>
      </c>
      <c r="H7" s="206">
        <v>0.8423073231596123</v>
      </c>
    </row>
    <row r="8">
      <c r="A8" s="216" t="s">
        <v>192</v>
      </c>
      <c r="B8" s="217">
        <v>0.25</v>
      </c>
      <c r="C8" s="218">
        <v>0.3465134223370657</v>
      </c>
      <c r="D8" s="219" t="s">
        <v>193</v>
      </c>
      <c r="E8" s="220">
        <v>0.5434356368292586</v>
      </c>
      <c r="F8" s="220">
        <v>0.3586381412468369</v>
      </c>
      <c r="G8" s="220">
        <v>0.24199495439549784</v>
      </c>
      <c r="H8" s="221" t="s">
        <v>194</v>
      </c>
    </row>
    <row r="9">
      <c r="A9" s="216" t="s">
        <v>195</v>
      </c>
      <c r="B9" s="217">
        <v>0.38</v>
      </c>
      <c r="C9" s="218">
        <v>0.340878911857594</v>
      </c>
      <c r="D9" s="219" t="s">
        <v>193</v>
      </c>
      <c r="E9" s="220">
        <v>0.24980993157536713</v>
      </c>
      <c r="F9" s="220">
        <v>0.3417586841499885</v>
      </c>
      <c r="G9" s="220">
        <v>0.38550359014166513</v>
      </c>
      <c r="H9" s="221" t="s">
        <v>196</v>
      </c>
    </row>
    <row r="10">
      <c r="A10" s="216" t="s">
        <v>197</v>
      </c>
      <c r="B10" s="217">
        <v>0.38</v>
      </c>
      <c r="C10" s="218">
        <v>0.3126076658053402</v>
      </c>
      <c r="D10" s="219" t="s">
        <v>193</v>
      </c>
      <c r="E10" s="220">
        <v>0.20675443159537432</v>
      </c>
      <c r="F10" s="220">
        <v>0.2996031746031746</v>
      </c>
      <c r="G10" s="220">
        <v>0.37250145546283725</v>
      </c>
      <c r="H10" s="221" t="s">
        <v>198</v>
      </c>
    </row>
    <row customHeight="true" ht="20" r="11">
      <c r="A11" s="216" t="s">
        <v>199</v>
      </c>
      <c r="B11" s="222">
        <v>0.07</v>
      </c>
      <c r="C11" s="222">
        <v>0.07347471537908802</v>
      </c>
      <c r="D11" s="223">
        <v>1.0496387911298288</v>
      </c>
      <c r="E11" s="222">
        <v>0.0738</v>
      </c>
      <c r="F11" s="222">
        <v>0.0726</v>
      </c>
      <c r="G11" s="222">
        <v>0.0735962020760613</v>
      </c>
      <c r="H11" s="221" t="s">
        <v>200</v>
      </c>
    </row>
  </sheetData>
  <mergeCells>
    <mergeCell ref="A1:A2"/>
    <mergeCell ref="E1:H1"/>
    <mergeCell ref="B1:D1"/>
  </mergeCells>
  <conditionalFormatting sqref="H3:H7">
    <cfRule dxfId="0" operator="lessThan" priority="1" stopIfTrue="true" type="cellIs">
      <formula>0</formula>
    </cfRule>
  </conditionalFormatting>
  <conditionalFormatting sqref="H3:H7">
    <cfRule dxfId="1" operator="greaterThan" priority="2" stopIfTrue="true" type="cellIs">
      <formula>0</formula>
    </cfRule>
  </conditionalFormatting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