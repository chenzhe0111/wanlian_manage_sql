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bBkka" sheetId="2" state="visible" r:id="rId2"/>
    <sheet xmlns:r="http://schemas.openxmlformats.org/officeDocument/2006/relationships" name="kQX14j" sheetId="3" state="visible" r:id="rId3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2"/>
      <scheme val="minor"/>
    </font>
    <font>
      <name val="宋体"/>
      <family val="2"/>
      <color rgb="FF000000"/>
      <sz val="11"/>
    </font>
    <font>
      <name val="等线"/>
      <family val="2"/>
      <color rgb="FF000000"/>
      <sz val="11"/>
    </font>
    <font>
      <name val="Calibri"/>
      <family val="2"/>
      <color rgb="FF000000"/>
      <sz val="10"/>
      <scheme val="minor"/>
    </font>
    <font>
      <name val="等线"/>
      <family val="2"/>
      <color rgb="FF000000"/>
      <sz val="10"/>
    </font>
    <font>
      <name val="宋体-简"/>
      <family val="2"/>
      <color rgb="FF000000"/>
      <sz val="11"/>
    </font>
    <font>
      <name val="Calibri"/>
      <family val="2"/>
      <color rgb="FF000000"/>
      <sz val="9"/>
      <scheme val="minor"/>
    </font>
    <font>
      <name val="宋体-简"/>
      <family val="2"/>
      <b val="1"/>
      <color rgb="FF000000"/>
      <sz val="14"/>
    </font>
    <font>
      <name val="等线"/>
      <family val="2"/>
      <color rgb="FF333333"/>
      <sz val="11"/>
    </font>
    <font>
      <name val="宋体-简"/>
      <family val="2"/>
      <color rgb="FF000000"/>
      <sz val="12"/>
    </font>
    <font>
      <name val="等线"/>
      <family val="2"/>
      <color rgb="FF333333"/>
      <sz val="10"/>
    </font>
    <font>
      <name val="Calibri"/>
      <family val="2"/>
      <color rgb="FF373C43"/>
      <sz val="10"/>
      <scheme val="minor"/>
    </font>
    <font>
      <name val="宋体-简"/>
      <family val="2"/>
      <color rgb="FF000000"/>
      <sz val="10"/>
    </font>
    <font>
      <name val="Calibri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D9F5D6"/>
      </patternFill>
    </fill>
    <fill>
      <patternFill patternType="solid">
        <fgColor rgb="FFFAF1D1"/>
      </patternFill>
    </fill>
    <fill>
      <patternFill patternType="solid">
        <fgColor rgb="FFE5EFFF"/>
      </patternFill>
    </fill>
    <fill>
      <patternFill patternType="solid">
        <fgColor rgb="FFC7ECFF"/>
      </patternFill>
    </fill>
    <fill>
      <patternFill patternType="solid">
        <fgColor rgb="FFEAFAF1"/>
      </patternFill>
    </fill>
    <fill>
      <patternFill patternType="solid">
        <fgColor rgb="FFFFF9E3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ck">
        <color rgb="FF1F2329"/>
      </bottom>
      <diagonal/>
    </border>
    <border>
      <left/>
      <right/>
      <top/>
      <bottom style="thick">
        <color rgb="FF1F2329"/>
      </bottom>
      <diagonal/>
    </border>
    <border>
      <left/>
      <right/>
      <top style="medium">
        <color rgb="FFCBCDD1"/>
      </top>
      <bottom/>
      <diagonal/>
    </border>
    <border>
      <left/>
      <right/>
      <top style="medium">
        <color rgb="FFCBCDD1"/>
      </top>
      <bottom style="thick">
        <color rgb="FF1F2329"/>
      </bottom>
      <diagonal/>
    </border>
  </borders>
  <cellStyleXfs count="1">
    <xf numFmtId="0" fontId="0" fillId="0" borderId="0"/>
  </cellStyleXfs>
  <cellXfs count="13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4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4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9" fontId="5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 vertical="center" wrapText="1"/>
    </xf>
    <xf numFmtId="9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1" fontId="8" fillId="0" borderId="1" applyAlignment="1" pivotButton="0" quotePrefix="0" xfId="0">
      <alignment horizontal="left" vertical="bottom" wrapText="1"/>
    </xf>
    <xf numFmtId="0" fontId="5" fillId="0" borderId="0" applyAlignment="1" pivotButton="0" quotePrefix="0" xfId="0">
      <alignment horizontal="left" vertical="bottom" wrapText="1"/>
    </xf>
    <xf numFmtId="0" fontId="8" fillId="0" borderId="0" applyAlignment="1" pivotButton="0" quotePrefix="0" xfId="0">
      <alignment horizontal="left" vertical="bottom" wrapText="1"/>
    </xf>
    <xf numFmtId="0" fontId="8" fillId="0" borderId="0" applyAlignment="1" pivotButton="0" quotePrefix="0" xfId="0">
      <alignment horizontal="left" vertical="center" wrapText="1"/>
    </xf>
    <xf numFmtId="1" fontId="8" fillId="0" borderId="0" applyAlignment="1" pivotButton="0" quotePrefix="0" xfId="0">
      <alignment horizontal="left" vertical="center" wrapText="1"/>
    </xf>
    <xf numFmtId="1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bottom" wrapText="1"/>
    </xf>
    <xf numFmtId="0" fontId="5" fillId="0" borderId="3" applyAlignment="1" pivotButton="0" quotePrefix="0" xfId="0">
      <alignment horizontal="left" vertical="bottom" wrapText="1"/>
    </xf>
    <xf numFmtId="0" fontId="3" fillId="0" borderId="3" applyAlignment="1" pivotButton="0" quotePrefix="0" xfId="0">
      <alignment horizontal="left" vertical="center"/>
    </xf>
    <xf numFmtId="1" fontId="8" fillId="0" borderId="2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bottom" wrapText="1"/>
    </xf>
    <xf numFmtId="1" fontId="8" fillId="0" borderId="4" applyAlignment="1" pivotButton="0" quotePrefix="0" xfId="0">
      <alignment horizontal="left" vertical="center" wrapText="1"/>
    </xf>
    <xf numFmtId="1" fontId="10" fillId="0" borderId="4" applyAlignment="1" pivotButton="0" quotePrefix="0" xfId="0">
      <alignment horizontal="left" vertical="center" wrapText="1"/>
    </xf>
    <xf numFmtId="1" fontId="8" fillId="0" borderId="4" applyAlignment="1" pivotButton="0" quotePrefix="0" xfId="0">
      <alignment horizontal="left" vertical="center" wrapText="1"/>
    </xf>
    <xf numFmtId="1" fontId="10" fillId="0" borderId="4" applyAlignment="1" pivotButton="0" quotePrefix="0" xfId="0">
      <alignment horizontal="left" vertical="center" wrapText="1"/>
    </xf>
    <xf numFmtId="9" fontId="5" fillId="0" borderId="0" applyAlignment="1" pivotButton="0" quotePrefix="0" xfId="0">
      <alignment horizontal="left" vertical="bottom" wrapText="1"/>
    </xf>
    <xf numFmtId="9" fontId="3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left" vertical="center"/>
    </xf>
    <xf numFmtId="9" fontId="5" fillId="0" borderId="3" applyAlignment="1" pivotButton="0" quotePrefix="0" xfId="0">
      <alignment horizontal="left" vertical="bottom" wrapText="1"/>
    </xf>
    <xf numFmtId="9" fontId="3" fillId="0" borderId="3" applyAlignment="1" pivotButton="0" quotePrefix="0" xfId="0">
      <alignment horizontal="left" vertical="center"/>
    </xf>
    <xf numFmtId="1" fontId="8" fillId="0" borderId="5" applyAlignment="1" pivotButton="0" quotePrefix="0" xfId="0">
      <alignment horizontal="left" vertical="center" wrapText="1"/>
    </xf>
    <xf numFmtId="1" fontId="10" fillId="0" borderId="5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 wrapText="1"/>
    </xf>
    <xf numFmtId="1" fontId="10" fillId="0" borderId="0" applyAlignment="1" pivotButton="0" quotePrefix="0" xfId="0">
      <alignment horizontal="left" vertical="center" wrapText="1"/>
    </xf>
    <xf numFmtId="1" fontId="11" fillId="0" borderId="0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bottom" wrapText="1"/>
    </xf>
    <xf numFmtId="1" fontId="10" fillId="0" borderId="0" applyAlignment="1" pivotButton="0" quotePrefix="0" xfId="0">
      <alignment horizontal="left" vertical="center" wrapText="1"/>
    </xf>
    <xf numFmtId="10" fontId="12" fillId="0" borderId="0" applyAlignment="1" pivotButton="0" quotePrefix="0" xfId="0">
      <alignment horizontal="left" vertical="center" wrapText="1"/>
    </xf>
    <xf numFmtId="9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9" fontId="5" fillId="0" borderId="2" applyAlignment="1" pivotButton="0" quotePrefix="0" xfId="0">
      <alignment horizontal="left" vertical="bottom" wrapText="1"/>
    </xf>
    <xf numFmtId="10" fontId="12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1" fontId="10" fillId="0" borderId="2" applyAlignment="1" pivotButton="0" quotePrefix="0" xfId="0">
      <alignment horizontal="left" vertical="center" wrapText="1"/>
    </xf>
    <xf numFmtId="1" fontId="11" fillId="0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bottom" wrapText="1"/>
    </xf>
    <xf numFmtId="0" fontId="1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9" fontId="12" fillId="0" borderId="0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bottom" wrapText="1"/>
    </xf>
    <xf numFmtId="0" fontId="13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bottom" wrapText="1"/>
    </xf>
    <xf numFmtId="0" fontId="5" fillId="0" borderId="3" applyAlignment="1" pivotButton="0" quotePrefix="0" xfId="0">
      <alignment horizontal="center" vertical="bottom" wrapText="1"/>
    </xf>
    <xf numFmtId="9" fontId="3" fillId="0" borderId="3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9" fontId="3" fillId="0" borderId="2" applyAlignment="1" pivotButton="0" quotePrefix="0" xfId="0">
      <alignment horizontal="left" vertical="center"/>
    </xf>
    <xf numFmtId="9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4" fontId="1" fillId="2" borderId="0" applyAlignment="1" pivotButton="0" quotePrefix="0" xfId="0">
      <alignment horizontal="center" vertical="center"/>
    </xf>
    <xf numFmtId="10" fontId="1" fillId="2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 vertical="center" wrapText="1"/>
    </xf>
    <xf numFmtId="9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9" fontId="1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left" vertical="bottom" wrapText="1"/>
    </xf>
    <xf numFmtId="1" fontId="8" fillId="0" borderId="3" applyAlignment="1" pivotButton="0" quotePrefix="0" xfId="0">
      <alignment horizontal="left" vertical="center" wrapText="1"/>
    </xf>
    <xf numFmtId="9" fontId="3" fillId="0" borderId="0" applyAlignment="1" pivotButton="0" quotePrefix="0" xfId="0">
      <alignment horizontal="left" vertical="center"/>
    </xf>
    <xf numFmtId="0" fontId="0" fillId="0" borderId="3" pivotButton="0" quotePrefix="0" xfId="0"/>
    <xf numFmtId="1" fontId="8" fillId="0" borderId="5" applyAlignment="1" pivotButton="0" quotePrefix="0" xfId="0">
      <alignment vertical="top" wrapText="1"/>
    </xf>
    <xf numFmtId="1" fontId="10" fillId="0" borderId="5" applyAlignment="1" pivotButton="0" quotePrefix="0" xfId="0">
      <alignment vertical="top" wrapText="1"/>
    </xf>
    <xf numFmtId="9" fontId="5" fillId="0" borderId="0" applyAlignment="1" pivotButton="0" quotePrefix="0" xfId="0">
      <alignment horizontal="left" vertical="bottom" wrapText="1"/>
    </xf>
    <xf numFmtId="9" fontId="5" fillId="0" borderId="3" applyAlignment="1" pivotButton="0" quotePrefix="0" xfId="0">
      <alignment horizontal="left" vertical="bottom" wrapText="1"/>
    </xf>
    <xf numFmtId="9" fontId="3" fillId="0" borderId="3" applyAlignment="1" pivotButton="0" quotePrefix="0" xfId="0">
      <alignment horizontal="left" vertical="center"/>
    </xf>
    <xf numFmtId="1" fontId="10" fillId="0" borderId="3" applyAlignment="1" pivotButton="0" quotePrefix="0" xfId="0">
      <alignment vertical="top" wrapText="1"/>
    </xf>
    <xf numFmtId="1" fontId="11" fillId="0" borderId="3" applyAlignment="1" pivotButton="0" quotePrefix="0" xfId="0">
      <alignment vertical="top" wrapText="1"/>
    </xf>
    <xf numFmtId="10" fontId="12" fillId="0" borderId="0" applyAlignment="1" pivotButton="0" quotePrefix="0" xfId="0">
      <alignment horizontal="left" vertical="center" wrapText="1"/>
    </xf>
    <xf numFmtId="9" fontId="12" fillId="0" borderId="0" applyAlignment="1" pivotButton="0" quotePrefix="0" xfId="0">
      <alignment horizontal="left" vertical="center" wrapText="1"/>
    </xf>
    <xf numFmtId="9" fontId="5" fillId="0" borderId="2" applyAlignment="1" pivotButton="0" quotePrefix="0" xfId="0">
      <alignment horizontal="left" vertical="bottom" wrapText="1"/>
    </xf>
    <xf numFmtId="10" fontId="12" fillId="0" borderId="2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/>
    </xf>
    <xf numFmtId="9" fontId="3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showGridLines="1" workbookViewId="0">
      <selection activeCell="B5" sqref="B5"/>
    </sheetView>
  </sheetViews>
  <sheetFormatPr baseColWidth="8" defaultColWidth="13" defaultRowHeight="20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41"/>
  <sheetViews>
    <sheetView showGridLines="1" tabSelected="1" workbookViewId="0">
      <pane xSplit="1" ySplit="1" topLeftCell="B2" activePane="topLeft" state="frozen"/>
      <selection activeCell="A1" sqref="A1"/>
    </sheetView>
  </sheetViews>
  <sheetFormatPr baseColWidth="8" defaultColWidth="13" defaultRowHeight="20"/>
  <cols>
    <col width="28" customWidth="1" min="1" max="1"/>
    <col width="17" customWidth="1" min="3" max="3"/>
    <col width="13" customWidth="1" min="4" max="4"/>
    <col width="13" customWidth="1" min="5" max="5"/>
    <col width="13" customWidth="1" min="6" max="6"/>
    <col width="29" customWidth="1" min="7" max="7"/>
    <col width="26" customWidth="1" min="8" max="8"/>
  </cols>
  <sheetData>
    <row r="1">
      <c r="A1" s="2" t="n"/>
      <c r="B1" s="2" t="inlineStr">
        <is>
          <t>8月目标</t>
        </is>
      </c>
      <c r="C1" s="2" t="inlineStr">
        <is>
          <t>8月实际值（MTD）</t>
        </is>
      </c>
      <c r="D1" s="2" t="inlineStr">
        <is>
          <t>目标完成进度</t>
        </is>
      </c>
      <c r="E1" s="2" t="inlineStr">
        <is>
          <t>7M4W</t>
        </is>
      </c>
      <c r="F1" s="2" t="inlineStr">
        <is>
          <t>8M1W</t>
        </is>
      </c>
      <c r="G1" s="2" t="inlineStr">
        <is>
          <t>本周进展</t>
        </is>
      </c>
      <c r="H1" s="2" t="inlineStr">
        <is>
          <t>下周规划</t>
        </is>
      </c>
    </row>
    <row r="2">
      <c r="A2" s="7" t="inlineStr">
        <is>
          <t>7月运单量规模( 万单）</t>
        </is>
      </c>
      <c r="B2" s="99" t="n">
        <v>180.3549</v>
      </c>
      <c r="C2" s="99" t="n">
        <v>9.5578</v>
      </c>
      <c r="D2" s="100">
        <f>C2/B2</f>
        <v/>
      </c>
      <c r="E2" s="99" t="n">
        <v>28.3082</v>
      </c>
      <c r="F2" s="99" t="n">
        <v>20.4555</v>
      </c>
      <c r="G2" s="7" t="n"/>
      <c r="H2" s="7" t="n"/>
    </row>
    <row r="3">
      <c r="A3" s="8" t="inlineStr">
        <is>
          <t>7月峰值运单量（万单）</t>
        </is>
      </c>
      <c r="B3" s="101" t="n">
        <v>7.789999999999999</v>
      </c>
      <c r="C3" s="101" t="n">
        <v>2.72</v>
      </c>
      <c r="D3" s="102">
        <f>C3/B3</f>
        <v/>
      </c>
      <c r="E3" s="19" t="n">
        <v>4.91</v>
      </c>
      <c r="F3" s="19" t="n">
        <v>4</v>
      </c>
      <c r="G3" s="16" t="n"/>
      <c r="H3" s="16" t="n"/>
    </row>
    <row r="4">
      <c r="A4" s="14" t="inlineStr">
        <is>
          <t>线上增长贡献撮合运单规模</t>
        </is>
      </c>
      <c r="B4" s="101" t="n">
        <v>14.428392</v>
      </c>
      <c r="C4" s="101" t="n">
        <v>1.2023</v>
      </c>
      <c r="D4" s="102">
        <f>C4/B4</f>
        <v/>
      </c>
      <c r="E4" s="19" t="n">
        <v>2.8765</v>
      </c>
      <c r="F4" s="19" t="n">
        <v>2.5141</v>
      </c>
    </row>
    <row r="5">
      <c r="A5" s="8" t="inlineStr">
        <is>
          <t xml:space="preserve">  电销运单规模（万单）</t>
        </is>
      </c>
      <c r="B5" s="101" t="n">
        <v>2.382499939422329</v>
      </c>
      <c r="C5" s="101" t="n">
        <v>0.4383</v>
      </c>
      <c r="D5" s="102">
        <f>C5/B5</f>
        <v/>
      </c>
      <c r="E5" s="103" t="n">
        <v>1.257916666</v>
      </c>
      <c r="F5" s="103" t="n">
        <v>0.9112</v>
      </c>
    </row>
    <row r="6">
      <c r="A6" s="8" t="inlineStr">
        <is>
          <t xml:space="preserve">  投放运单规模（万单）</t>
        </is>
      </c>
      <c r="B6" s="101" t="n">
        <v>7.073725390476969</v>
      </c>
      <c r="C6" s="101" t="n">
        <v>0.6507500000000001</v>
      </c>
      <c r="D6" s="102">
        <f>C6/B6</f>
        <v/>
      </c>
      <c r="E6" s="103" t="n">
        <v>1.451666666</v>
      </c>
      <c r="F6" s="103" t="n">
        <v>1.442</v>
      </c>
    </row>
    <row r="7">
      <c r="A7" s="8" t="inlineStr">
        <is>
          <t xml:space="preserve">  裂变运单规模（万单）</t>
        </is>
      </c>
      <c r="B7" s="101" t="n">
        <v>1.363680426853391</v>
      </c>
      <c r="C7" s="101" t="n">
        <v>0.06950000000000001</v>
      </c>
      <c r="D7" s="102">
        <f>C7/B7</f>
        <v/>
      </c>
      <c r="E7" s="103" t="n">
        <v>0.053616666</v>
      </c>
      <c r="F7" s="103" t="n">
        <v>0.08774999999999999</v>
      </c>
    </row>
    <row r="8">
      <c r="A8" s="2" t="inlineStr">
        <is>
          <t xml:space="preserve">   调度运单规模（万单）</t>
        </is>
      </c>
      <c r="B8" s="101" t="n">
        <v>3.608486243247308</v>
      </c>
      <c r="C8" s="104" t="n">
        <v>0.02425</v>
      </c>
      <c r="D8" s="102">
        <f>C8/B8</f>
        <v/>
      </c>
      <c r="E8" s="101" t="n">
        <v>0.1099</v>
      </c>
      <c r="F8" s="101" t="n">
        <v>0.05305</v>
      </c>
    </row>
    <row r="9">
      <c r="A9" s="14" t="inlineStr">
        <is>
          <t>区域增长贡献撮合运单规模</t>
        </is>
      </c>
      <c r="B9" s="19" t="n">
        <v>174.94</v>
      </c>
      <c r="C9" s="19" t="n">
        <v>9.5372</v>
      </c>
      <c r="D9" s="102">
        <f>C9/B9</f>
        <v/>
      </c>
      <c r="E9" s="19" t="n">
        <v>28.31</v>
      </c>
      <c r="F9" s="19" t="n">
        <v>20.43</v>
      </c>
    </row>
    <row r="10">
      <c r="A10" s="8" t="inlineStr">
        <is>
          <t xml:space="preserve"> 产品手册定期更新</t>
        </is>
      </c>
      <c r="B10" s="19" t="inlineStr">
        <is>
          <t>定期更新</t>
        </is>
      </c>
      <c r="C10" s="19" t="inlineStr">
        <is>
          <t>更新中</t>
        </is>
      </c>
      <c r="D10" s="19" t="n"/>
      <c r="E10" s="19" t="n"/>
      <c r="F10" s="19" t="n"/>
    </row>
    <row r="11">
      <c r="A11" s="8" t="inlineStr">
        <is>
          <t xml:space="preserve">  撮合业务介绍手册</t>
        </is>
      </c>
      <c r="B11" s="19" t="inlineStr">
        <is>
          <t>7月24日交付</t>
        </is>
      </c>
      <c r="C11" s="19" t="inlineStr">
        <is>
          <t>制作中</t>
        </is>
      </c>
      <c r="D11" s="19" t="n"/>
      <c r="E11" s="19" t="n"/>
      <c r="F11" s="19" t="n"/>
    </row>
    <row r="12">
      <c r="A12" s="8" t="inlineStr">
        <is>
          <t xml:space="preserve">  客户案例包装</t>
        </is>
      </c>
      <c r="B12" s="19" t="inlineStr">
        <is>
          <t>1个/月</t>
        </is>
      </c>
      <c r="C12" s="19" t="inlineStr">
        <is>
          <t>？</t>
        </is>
      </c>
      <c r="D12" s="19" t="n"/>
      <c r="E12" s="19" t="n"/>
      <c r="F12" s="19" t="n"/>
    </row>
    <row r="13">
      <c r="A13" s="2" t="n"/>
      <c r="B13" s="2" t="n"/>
      <c r="C13" s="19" t="n"/>
      <c r="D13" s="19" t="n"/>
      <c r="E13" s="19" t="n"/>
      <c r="F13" s="19" t="n"/>
    </row>
    <row r="14">
      <c r="A14" s="7" t="inlineStr">
        <is>
          <t>开放货源成交运单量</t>
        </is>
      </c>
      <c r="B14" s="7" t="n"/>
      <c r="C14" s="21" t="n">
        <v>15828</v>
      </c>
      <c r="D14" s="21" t="n"/>
      <c r="E14" s="21" t="n">
        <v>44997</v>
      </c>
      <c r="F14" s="21" t="n">
        <v>34002</v>
      </c>
      <c r="G14" s="7" t="n"/>
      <c r="H14" s="7" t="n"/>
    </row>
    <row r="15">
      <c r="A15" s="2" t="inlineStr">
        <is>
          <t>开放货源量</t>
        </is>
      </c>
      <c r="B15" s="2" t="n"/>
      <c r="C15" s="19" t="n">
        <v>815</v>
      </c>
      <c r="D15" s="19" t="n"/>
      <c r="E15" s="105" t="n">
        <v>1842</v>
      </c>
      <c r="F15" s="105" t="n">
        <v>1791</v>
      </c>
      <c r="G15" s="16" t="n"/>
      <c r="H15" s="35" t="n"/>
    </row>
    <row r="16">
      <c r="A16" s="2" t="inlineStr">
        <is>
          <t>开放货源成交率</t>
        </is>
      </c>
      <c r="B16" s="2" t="n"/>
      <c r="C16" s="102" t="n">
        <v>0.7117</v>
      </c>
      <c r="D16" s="19" t="n"/>
      <c r="E16" s="106" t="n">
        <v>0.7519</v>
      </c>
      <c r="F16" s="106" t="n">
        <v>0.7426</v>
      </c>
    </row>
    <row r="17">
      <c r="A17" s="2" t="inlineStr">
        <is>
          <t>收取信息费运单规模/占比</t>
        </is>
      </c>
      <c r="B17" s="2" t="n"/>
      <c r="C17" s="19" t="n">
        <v>519</v>
      </c>
      <c r="D17" s="19" t="n"/>
      <c r="E17" s="105" t="n">
        <v>941</v>
      </c>
      <c r="F17" s="105" t="n">
        <v>1026</v>
      </c>
    </row>
    <row r="18">
      <c r="A18" s="2" t="inlineStr">
        <is>
          <t>单均信息费金额</t>
        </is>
      </c>
      <c r="B18" s="2" t="n"/>
      <c r="C18" s="107" t="n">
        <v>27.09</v>
      </c>
      <c r="D18" s="19" t="n"/>
      <c r="E18" s="101" t="n">
        <v>26.64</v>
      </c>
      <c r="F18" s="101" t="n">
        <v>25.83</v>
      </c>
    </row>
    <row r="19">
      <c r="A19" s="39" t="n"/>
      <c r="B19" s="41" t="n"/>
      <c r="C19" s="41" t="n"/>
      <c r="D19" s="41" t="n"/>
      <c r="E19" s="41" t="n"/>
      <c r="F19" s="41" t="n"/>
    </row>
    <row r="20">
      <c r="A20" s="29" t="inlineStr">
        <is>
          <t>匹配策略基建</t>
        </is>
      </c>
      <c r="B20" s="29" t="n"/>
      <c r="C20" s="30" t="n"/>
      <c r="D20" s="30" t="n"/>
      <c r="E20" s="29" t="n"/>
      <c r="F20" s="29" t="n"/>
      <c r="G20" s="7" t="n"/>
      <c r="H20" s="7" t="n"/>
    </row>
    <row r="21">
      <c r="A21" s="39" t="inlineStr">
        <is>
          <t>调度工作台运力推荐能力</t>
        </is>
      </c>
      <c r="B21" s="108" t="n">
        <v>0.1</v>
      </c>
      <c r="C21" s="109" t="n">
        <v>0.0018</v>
      </c>
      <c r="D21" s="102">
        <f>C21/B21</f>
        <v/>
      </c>
      <c r="E21" s="110" t="n">
        <v>0</v>
      </c>
      <c r="F21" s="110" t="n">
        <v>0</v>
      </c>
      <c r="G21" s="16" t="n"/>
      <c r="H21" s="16" t="n"/>
    </row>
    <row r="22">
      <c r="A22" s="39" t="inlineStr">
        <is>
          <t>自然撮合完单货源占比</t>
        </is>
      </c>
      <c r="B22" s="41" t="n"/>
      <c r="C22" s="41" t="n"/>
      <c r="D22" s="41" t="n"/>
      <c r="E22" s="41" t="n"/>
      <c r="F22" s="41" t="n"/>
    </row>
    <row r="23">
      <c r="A23" s="39" t="inlineStr">
        <is>
          <t>货找车策略建设</t>
        </is>
      </c>
      <c r="B23" s="39" t="n"/>
      <c r="C23" s="41" t="n"/>
      <c r="D23" s="41" t="n"/>
      <c r="E23" s="39" t="n"/>
      <c r="F23" s="39" t="n"/>
    </row>
    <row r="24">
      <c r="A24" s="39" t="inlineStr">
        <is>
          <t>车找货策略建设</t>
        </is>
      </c>
      <c r="B24" s="39" t="n"/>
      <c r="C24" s="41" t="n"/>
      <c r="D24" s="41" t="n"/>
      <c r="E24" s="39" t="n"/>
      <c r="F24" s="39" t="n"/>
    </row>
    <row r="25">
      <c r="A25" s="39" t="n"/>
      <c r="B25" s="39" t="n"/>
      <c r="C25" s="41" t="n"/>
      <c r="D25" s="41" t="n"/>
      <c r="E25" s="39" t="n"/>
      <c r="F25" s="39" t="n"/>
    </row>
    <row r="26">
      <c r="A26" s="29" t="inlineStr">
        <is>
          <t>价格能力建设</t>
        </is>
      </c>
      <c r="B26" s="29" t="n"/>
      <c r="C26" s="30" t="n"/>
      <c r="D26" s="30" t="n"/>
      <c r="E26" s="29" t="n"/>
      <c r="F26" s="29" t="n"/>
      <c r="G26" s="7" t="n"/>
      <c r="H26" s="7" t="n"/>
    </row>
    <row r="27">
      <c r="A27" s="39" t="inlineStr">
        <is>
          <t>参考价能力</t>
        </is>
      </c>
      <c r="B27" s="39" t="n"/>
      <c r="C27" s="41" t="n"/>
      <c r="D27" s="41" t="n"/>
      <c r="E27" s="39" t="n"/>
      <c r="F27" s="39" t="n"/>
      <c r="G27" s="16" t="n"/>
      <c r="H27" s="16" t="n"/>
    </row>
    <row r="28">
      <c r="A28" s="39" t="inlineStr">
        <is>
          <t>调度工作台价格能力建设</t>
        </is>
      </c>
      <c r="B28" s="39" t="n"/>
      <c r="C28" s="41" t="n"/>
      <c r="D28" s="41" t="n"/>
      <c r="E28" s="39" t="n"/>
      <c r="F28" s="39" t="n"/>
    </row>
    <row r="29">
      <c r="A29" s="39" t="n"/>
      <c r="B29" s="39" t="n"/>
      <c r="C29" s="41" t="n"/>
      <c r="D29" s="41" t="n"/>
      <c r="E29" s="39" t="n"/>
      <c r="F29" s="39" t="n"/>
    </row>
    <row r="30">
      <c r="A30" s="7" t="inlineStr">
        <is>
          <t>产品体验提升</t>
        </is>
      </c>
      <c r="B30" s="7" t="n"/>
      <c r="C30" s="21" t="n"/>
      <c r="D30" s="21" t="n"/>
      <c r="E30" s="7" t="n"/>
      <c r="F30" s="7" t="n"/>
      <c r="G30" s="7" t="n"/>
      <c r="H30" s="7" t="n"/>
    </row>
    <row r="31">
      <c r="A31" s="2" t="inlineStr">
        <is>
          <t>货主体验专项推进</t>
        </is>
      </c>
      <c r="B31" s="2" t="n"/>
      <c r="C31" s="19" t="n"/>
      <c r="D31" s="19" t="n"/>
      <c r="E31" s="2" t="n"/>
      <c r="F31" s="2" t="n"/>
      <c r="G31" s="35" t="n"/>
      <c r="H31" s="35" t="n"/>
    </row>
    <row r="32">
      <c r="A32" s="2" t="inlineStr">
        <is>
          <t>司机体验专项推进</t>
        </is>
      </c>
      <c r="B32" s="2" t="n"/>
      <c r="C32" s="19" t="n"/>
      <c r="D32" s="19" t="n"/>
      <c r="E32" s="2" t="n"/>
      <c r="F32" s="2" t="n"/>
    </row>
    <row r="33">
      <c r="A33" s="2" t="n"/>
      <c r="B33" s="2" t="n"/>
      <c r="C33" s="19" t="n"/>
      <c r="D33" s="19" t="n"/>
      <c r="E33" s="2" t="n"/>
      <c r="F33" s="2" t="n"/>
    </row>
    <row r="34">
      <c r="A34" s="7" t="inlineStr">
        <is>
          <t>异常运单量</t>
        </is>
      </c>
      <c r="B34" s="7" t="n"/>
      <c r="C34" s="21" t="n">
        <v>8397</v>
      </c>
      <c r="D34" s="21" t="n"/>
      <c r="E34" s="21" t="n">
        <v>112133</v>
      </c>
      <c r="F34" s="21" t="n">
        <v>61497</v>
      </c>
      <c r="G34" s="7" t="n"/>
      <c r="H34" s="7" t="n"/>
    </row>
    <row r="35" ht="20" customHeight="1" s="111">
      <c r="A35" s="2" t="inlineStr">
        <is>
          <t>异常运单占比</t>
        </is>
      </c>
      <c r="B35" s="2" t="n"/>
      <c r="C35" s="106" t="n">
        <v>0.032</v>
      </c>
      <c r="D35" s="106" t="n"/>
      <c r="E35" s="112" t="n">
        <v>0.129</v>
      </c>
      <c r="F35" s="112" t="n">
        <v>0.092</v>
      </c>
      <c r="G35" s="35" t="n"/>
      <c r="H35" s="35" t="n"/>
    </row>
    <row r="36" ht="20" customHeight="1" s="111">
      <c r="A36" s="2" t="inlineStr">
        <is>
          <t>运费异常运单量</t>
        </is>
      </c>
      <c r="B36" s="2" t="n"/>
      <c r="C36" s="19" t="n">
        <v>174</v>
      </c>
      <c r="D36" s="19" t="n"/>
      <c r="E36" s="107" t="n">
        <v>427</v>
      </c>
      <c r="F36" s="107" t="n">
        <v>389</v>
      </c>
      <c r="G36" s="35" t="n"/>
      <c r="H36" s="35" t="n"/>
    </row>
    <row r="37">
      <c r="A37" s="2" t="inlineStr">
        <is>
          <t>秒装秒卸&amp;时速异常运单量</t>
        </is>
      </c>
      <c r="B37" s="2" t="n"/>
      <c r="C37" s="19" t="n">
        <v>2086</v>
      </c>
      <c r="D37" s="19" t="n"/>
      <c r="E37" s="105" t="n">
        <v>17336</v>
      </c>
      <c r="F37" s="105" t="n">
        <v>10544</v>
      </c>
    </row>
    <row r="38" ht="20" customHeight="1" s="111">
      <c r="A38" s="2" t="inlineStr">
        <is>
          <t>行程异常运单量</t>
        </is>
      </c>
      <c r="B38" s="39" t="n"/>
      <c r="C38" s="19" t="n">
        <v>6137</v>
      </c>
      <c r="D38" s="19" t="n"/>
      <c r="E38" s="101" t="n">
        <v>94370</v>
      </c>
      <c r="F38" s="101" t="n">
        <v>50564</v>
      </c>
    </row>
    <row r="39" ht="20" customHeight="1" s="111">
      <c r="A39" s="39" t="n"/>
      <c r="B39" s="39" t="n"/>
      <c r="C39" s="41" t="n"/>
      <c r="D39" s="41" t="n"/>
      <c r="E39" s="39" t="n"/>
      <c r="F39" s="39" t="n"/>
    </row>
    <row r="40">
      <c r="A40" s="29" t="inlineStr">
        <is>
          <t>品牌力建设，品牌曝光规模</t>
        </is>
      </c>
      <c r="B40" s="29" t="n"/>
      <c r="C40" s="30" t="n"/>
      <c r="D40" s="30" t="n"/>
      <c r="E40" s="29" t="n"/>
      <c r="F40" s="29" t="n"/>
      <c r="G40" s="7" t="n"/>
      <c r="H40" s="7" t="n"/>
    </row>
    <row r="41">
      <c r="A41" s="39" t="inlineStr">
        <is>
          <t>曝光规模（万）</t>
        </is>
      </c>
      <c r="B41" s="41" t="n">
        <v>2000</v>
      </c>
      <c r="C41" s="41" t="n">
        <v>4106</v>
      </c>
      <c r="D41" s="41" t="n"/>
      <c r="E41" s="41" t="n"/>
      <c r="G41" s="2" t="n"/>
      <c r="H41" s="2" t="n"/>
    </row>
  </sheetData>
  <mergeCells count="12">
    <mergeCell ref="H15:H19"/>
    <mergeCell ref="G31:G33"/>
    <mergeCell ref="H3:H13"/>
    <mergeCell ref="G21:G25"/>
    <mergeCell ref="H21:H25"/>
    <mergeCell ref="G3:G13"/>
    <mergeCell ref="G36:G39"/>
    <mergeCell ref="G27:G29"/>
    <mergeCell ref="H36:H39"/>
    <mergeCell ref="H27:H29"/>
    <mergeCell ref="H31:H33"/>
    <mergeCell ref="G15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33"/>
  <sheetViews>
    <sheetView showGridLines="1" workbookViewId="0">
      <pane ySplit="2" topLeftCell="A3" activePane="topLeft" state="frozen"/>
      <selection activeCell="A1" sqref="A1"/>
    </sheetView>
  </sheetViews>
  <sheetFormatPr baseColWidth="8" defaultColWidth="13" defaultRowHeight="20"/>
  <cols>
    <col width="21" customWidth="1" min="1" max="1"/>
    <col width="16" customWidth="1" min="2" max="2"/>
    <col width="13" customWidth="1" min="3" max="3"/>
    <col width="13" customWidth="1" min="4" max="4"/>
    <col width="28" customWidth="1" min="7" max="7"/>
    <col width="24" customWidth="1" min="8" max="8"/>
  </cols>
  <sheetData>
    <row r="1">
      <c r="A1" s="42" t="inlineStr">
        <is>
          <t>司机</t>
        </is>
      </c>
    </row>
    <row r="2">
      <c r="A2" s="43" t="inlineStr">
        <is>
          <t>指标/月份</t>
        </is>
      </c>
      <c r="B2" s="43" t="inlineStr">
        <is>
          <t>8月目标</t>
        </is>
      </c>
      <c r="C2" s="43" t="inlineStr">
        <is>
          <t>8月实际达成值</t>
        </is>
      </c>
      <c r="D2" s="43" t="inlineStr">
        <is>
          <t>7M3W</t>
        </is>
      </c>
      <c r="E2" s="43" t="inlineStr">
        <is>
          <t>7M4W</t>
        </is>
      </c>
      <c r="F2" s="43" t="inlineStr">
        <is>
          <t>8MW1</t>
        </is>
      </c>
      <c r="G2" s="113" t="inlineStr">
        <is>
          <t>本周进展</t>
        </is>
      </c>
      <c r="H2" s="113" t="inlineStr">
        <is>
          <t>下周规划</t>
        </is>
      </c>
    </row>
    <row r="3">
      <c r="A3" s="45" t="inlineStr">
        <is>
          <t>O注册司机数152w</t>
        </is>
      </c>
      <c r="B3" s="46" t="n"/>
      <c r="C3" s="89" t="n"/>
      <c r="D3" s="89" t="n"/>
      <c r="E3" s="89" t="n"/>
      <c r="F3" s="89" t="n"/>
      <c r="G3" s="114" t="n"/>
    </row>
    <row r="4" ht="25" customHeight="1" s="111">
      <c r="A4" s="45" t="inlineStr">
        <is>
          <t>线索司机数-累计（万）</t>
        </is>
      </c>
      <c r="B4" s="45" t="n">
        <v>195</v>
      </c>
      <c r="C4" s="50" t="n">
        <v>197</v>
      </c>
      <c r="D4" s="50" t="n">
        <v>197</v>
      </c>
      <c r="E4" s="50" t="n">
        <v>197</v>
      </c>
      <c r="F4" s="50" t="n">
        <v>197</v>
      </c>
    </row>
    <row r="5" ht="25" customHeight="1" s="111">
      <c r="A5" s="45" t="inlineStr">
        <is>
          <t>线索司机数-新增（万）</t>
        </is>
      </c>
      <c r="B5" s="45" t="n">
        <v>-1</v>
      </c>
      <c r="C5" s="50" t="n">
        <v>-1</v>
      </c>
      <c r="D5" s="50" t="n">
        <v>2</v>
      </c>
      <c r="E5" s="50" t="n">
        <v>0</v>
      </c>
      <c r="F5" s="50" t="n">
        <v>0</v>
      </c>
    </row>
    <row r="6">
      <c r="A6" s="45" t="inlineStr">
        <is>
          <t>注册司机数-累计</t>
        </is>
      </c>
      <c r="B6" s="45" t="n">
        <v>170</v>
      </c>
      <c r="C6" s="50" t="n">
        <v>150.9</v>
      </c>
      <c r="D6" s="115" t="n">
        <v>147.9</v>
      </c>
      <c r="E6" s="50" t="n">
        <v>150.9</v>
      </c>
      <c r="F6" s="50" t="n">
        <v>150.9</v>
      </c>
    </row>
    <row r="7">
      <c r="A7" s="52" t="inlineStr">
        <is>
          <t>注册司机数-新增（万）</t>
        </is>
      </c>
      <c r="B7" s="53" t="n">
        <v>18</v>
      </c>
      <c r="C7" s="54">
        <f>C6-135</f>
        <v/>
      </c>
      <c r="D7" s="54" t="n">
        <v>3.099999999999994</v>
      </c>
      <c r="E7" s="54" t="n">
        <v>3</v>
      </c>
      <c r="F7" s="54">
        <f>F6-E6</f>
        <v/>
      </c>
      <c r="G7" s="116" t="n"/>
      <c r="H7" s="116" t="n"/>
    </row>
    <row r="8">
      <c r="A8" s="42" t="inlineStr">
        <is>
          <t>动作及预估收益</t>
        </is>
      </c>
    </row>
    <row r="9">
      <c r="A9" s="56" t="inlineStr">
        <is>
          <t>新网线索转化</t>
        </is>
      </c>
      <c r="B9" s="46" t="n"/>
      <c r="C9" s="89" t="n"/>
      <c r="D9" s="89" t="n"/>
      <c r="E9" s="89" t="n"/>
      <c r="F9" s="50" t="n"/>
      <c r="G9" s="117" t="inlineStr">
        <is>
          <t>1.线上注册本周首降：本期3718（-6.93%），连涨5周后首次回落；
2.触达节奏：上周五触达9.9W线索，截止T+4未二波，新增偏少；新增存量线索质量低于7月已触达；
3.线索拓展MTD 2716/4000，完成67.9%，相对时间进度超前。</t>
        </is>
      </c>
      <c r="H9" s="118" t="inlineStr">
        <is>
          <t>1.推进第二波线索触达，缩短T+转化空窗；
2.提升存量线索质量筛选，压降低质触达；
3.盯注册/认证转化回升（本周认证-注册率约80%，周-4.5pp）。</t>
        </is>
      </c>
    </row>
    <row r="10">
      <c r="A10" s="45" t="inlineStr">
        <is>
          <t>注册（万）</t>
        </is>
      </c>
      <c r="B10" s="45" t="n">
        <v>0.7</v>
      </c>
      <c r="C10" s="50" t="n">
        <v>1.1009</v>
      </c>
      <c r="D10" s="115" t="n">
        <v>0.3138</v>
      </c>
      <c r="E10" s="50" t="n">
        <v>0.3901</v>
      </c>
      <c r="F10" s="50" t="n">
        <v>0.3901</v>
      </c>
    </row>
    <row r="11">
      <c r="A11" s="45" t="inlineStr">
        <is>
          <t>存量线索（万）</t>
        </is>
      </c>
      <c r="B11" s="45" t="n">
        <v>240</v>
      </c>
      <c r="C11" s="50" t="n"/>
      <c r="D11" s="115" t="n"/>
      <c r="E11" s="50" t="n"/>
      <c r="F11" s="50" t="n"/>
    </row>
    <row r="12">
      <c r="A12" s="45" t="inlineStr">
        <is>
          <t>有效线索占比</t>
        </is>
      </c>
      <c r="B12" s="119" t="n">
        <v>0.2</v>
      </c>
      <c r="C12" s="50" t="n"/>
      <c r="D12" s="115" t="n"/>
      <c r="E12" s="50" t="n"/>
      <c r="F12" s="50" t="n"/>
    </row>
    <row r="13">
      <c r="A13" s="45" t="inlineStr">
        <is>
          <t>触达率</t>
        </is>
      </c>
      <c r="B13" s="119" t="n">
        <v>0.7</v>
      </c>
      <c r="C13" s="115" t="n">
        <v>0.9</v>
      </c>
      <c r="D13" s="115" t="n">
        <v>0.9</v>
      </c>
      <c r="E13" s="115" t="n">
        <v>0.9</v>
      </c>
      <c r="F13" s="115" t="n">
        <v>0.9</v>
      </c>
    </row>
    <row r="14">
      <c r="A14" s="52" t="inlineStr">
        <is>
          <t>转化率</t>
        </is>
      </c>
      <c r="B14" s="120" t="n">
        <v>0.02</v>
      </c>
      <c r="C14" s="121" t="n">
        <v>0.03</v>
      </c>
      <c r="D14" s="121" t="n">
        <v>0.025</v>
      </c>
      <c r="E14" s="121" t="n">
        <v>0.03</v>
      </c>
      <c r="F14" s="121" t="n">
        <v>0.03</v>
      </c>
      <c r="G14" s="116" t="n"/>
      <c r="H14" s="116" t="n"/>
    </row>
    <row r="15">
      <c r="A15" s="68" t="inlineStr">
        <is>
          <t>微信私域转化</t>
        </is>
      </c>
      <c r="B15" s="46" t="n"/>
      <c r="C15" s="89" t="n"/>
      <c r="D15" s="89" t="n"/>
      <c r="E15" s="89" t="n"/>
      <c r="F15" s="50" t="n"/>
      <c r="G15" s="122" t="inlineStr">
        <is>
          <t>1.盘面仍弱：私域注册MTD约0.0008万，远低于月目标0.5万；
2.建群爬坡：入群0.6万/目标9万，群数20/300；加微通过率33.5%近目标，注册转化率8.3%落后目标20%；
3.触达动作：抽奖社群营销已推15轮；区域私域建设专项推进中。</t>
        </is>
      </c>
      <c r="H15" s="123" t="inlineStr">
        <is>
          <t>1.扩群上量（群数/入群），盯加微→注册转化抬至目标水位；
2.优化社群触达时段（上午10点、下午14-16点）；
3.联动抽奖/司拉司，提升私域司机注册与活跃。</t>
        </is>
      </c>
    </row>
    <row r="16">
      <c r="A16" s="71" t="inlineStr">
        <is>
          <t>注册（万）</t>
        </is>
      </c>
      <c r="B16" s="45" t="n">
        <v>0.5</v>
      </c>
      <c r="C16" s="50" t="n">
        <v>0.0008</v>
      </c>
      <c r="D16" s="115" t="n">
        <v>0.0001</v>
      </c>
      <c r="E16" s="50" t="n">
        <v>0</v>
      </c>
      <c r="F16" s="50" t="n">
        <v>0</v>
      </c>
    </row>
    <row r="17">
      <c r="A17" s="45" t="inlineStr">
        <is>
          <t>入群人数（万）</t>
        </is>
      </c>
      <c r="B17" s="45" t="n">
        <v>9</v>
      </c>
      <c r="C17" s="50" t="n">
        <v>0.6</v>
      </c>
      <c r="D17" s="115" t="inlineStr">
        <is>
          <t>/</t>
        </is>
      </c>
      <c r="E17" s="50" t="inlineStr">
        <is>
          <t>/</t>
        </is>
      </c>
      <c r="F17" s="50" t="inlineStr">
        <is>
          <t>/</t>
        </is>
      </c>
    </row>
    <row r="18">
      <c r="A18" s="45" t="inlineStr">
        <is>
          <t>群数量（个）</t>
        </is>
      </c>
      <c r="B18" s="45" t="n">
        <v>300</v>
      </c>
      <c r="C18" s="50" t="n">
        <v>20</v>
      </c>
      <c r="D18" s="115" t="inlineStr">
        <is>
          <t>/</t>
        </is>
      </c>
      <c r="E18" s="50" t="inlineStr">
        <is>
          <t>/</t>
        </is>
      </c>
      <c r="F18" s="50" t="inlineStr">
        <is>
          <t>/</t>
        </is>
      </c>
    </row>
    <row r="19">
      <c r="A19" s="45" t="inlineStr">
        <is>
          <t>群人数/群</t>
        </is>
      </c>
      <c r="B19" s="45" t="n">
        <v>300</v>
      </c>
      <c r="C19" s="50" t="n">
        <v>300</v>
      </c>
      <c r="D19" s="115" t="inlineStr">
        <is>
          <t>/</t>
        </is>
      </c>
      <c r="E19" s="50" t="inlineStr">
        <is>
          <t>/</t>
        </is>
      </c>
      <c r="F19" s="50" t="inlineStr">
        <is>
          <t>/</t>
        </is>
      </c>
    </row>
    <row r="20">
      <c r="A20" s="45" t="inlineStr">
        <is>
          <t>加微信通过率</t>
        </is>
      </c>
      <c r="B20" s="119" t="n">
        <v>0.3</v>
      </c>
      <c r="C20" s="124" t="n">
        <v>0.3352</v>
      </c>
      <c r="D20" s="125" t="inlineStr">
        <is>
          <t>/</t>
        </is>
      </c>
      <c r="E20" s="124" t="inlineStr">
        <is>
          <t>/</t>
        </is>
      </c>
      <c r="F20" s="75" t="inlineStr">
        <is>
          <t>/</t>
        </is>
      </c>
    </row>
    <row r="21">
      <c r="A21" s="52" t="inlineStr">
        <is>
          <t>注册转化率</t>
        </is>
      </c>
      <c r="B21" s="126" t="n">
        <v>0.2</v>
      </c>
      <c r="C21" s="127" t="n">
        <v>0.0832</v>
      </c>
      <c r="D21" s="78" t="inlineStr">
        <is>
          <t>/</t>
        </is>
      </c>
      <c r="E21" s="127" t="inlineStr">
        <is>
          <t>/</t>
        </is>
      </c>
      <c r="F21" s="78" t="inlineStr">
        <is>
          <t>/</t>
        </is>
      </c>
      <c r="G21" s="116" t="n"/>
      <c r="H21" s="116" t="n"/>
    </row>
    <row r="22">
      <c r="A22" s="81" t="inlineStr">
        <is>
          <t>区域联动</t>
        </is>
      </c>
      <c r="B22" s="46" t="n"/>
      <c r="C22" s="89" t="n"/>
      <c r="D22" s="89" t="n"/>
      <c r="E22" s="89" t="n"/>
      <c r="F22" s="50" t="n"/>
      <c r="G22" s="128" t="n"/>
      <c r="H22" s="128" t="n"/>
    </row>
    <row r="23">
      <c r="A23" s="45" t="inlineStr">
        <is>
          <t>注册（万）</t>
        </is>
      </c>
      <c r="B23" s="45" t="n">
        <v>0.3</v>
      </c>
      <c r="C23" s="50" t="inlineStr">
        <is>
          <t>/</t>
        </is>
      </c>
      <c r="D23" s="50" t="inlineStr">
        <is>
          <t>/</t>
        </is>
      </c>
      <c r="E23" s="50" t="inlineStr">
        <is>
          <t>/</t>
        </is>
      </c>
      <c r="F23" s="50" t="inlineStr">
        <is>
          <t>/</t>
        </is>
      </c>
    </row>
    <row r="24">
      <c r="A24" s="45" t="inlineStr">
        <is>
          <t>货源条数</t>
        </is>
      </c>
      <c r="B24" s="45" t="n">
        <v>3000</v>
      </c>
      <c r="C24" s="50" t="inlineStr">
        <is>
          <t>/</t>
        </is>
      </c>
      <c r="D24" s="50" t="inlineStr">
        <is>
          <t>/</t>
        </is>
      </c>
      <c r="E24" s="50" t="inlineStr">
        <is>
          <t>/</t>
        </is>
      </c>
      <c r="F24" s="50" t="inlineStr">
        <is>
          <t>/</t>
        </is>
      </c>
    </row>
    <row r="25">
      <c r="A25" s="45" t="inlineStr">
        <is>
          <t>条/货源</t>
        </is>
      </c>
      <c r="B25" s="45" t="n">
        <v>5</v>
      </c>
      <c r="C25" s="50" t="inlineStr">
        <is>
          <t>/</t>
        </is>
      </c>
      <c r="D25" s="50" t="inlineStr">
        <is>
          <t>/</t>
        </is>
      </c>
      <c r="E25" s="50" t="inlineStr">
        <is>
          <t>/</t>
        </is>
      </c>
      <c r="F25" s="50" t="inlineStr">
        <is>
          <t>/</t>
        </is>
      </c>
    </row>
    <row r="26">
      <c r="A26" s="45" t="inlineStr">
        <is>
          <t>转化率</t>
        </is>
      </c>
      <c r="B26" s="119" t="n">
        <v>0.3</v>
      </c>
      <c r="C26" s="125" t="inlineStr">
        <is>
          <t>/</t>
        </is>
      </c>
      <c r="D26" s="125" t="inlineStr">
        <is>
          <t>/</t>
        </is>
      </c>
      <c r="E26" s="125" t="inlineStr">
        <is>
          <t>/</t>
        </is>
      </c>
      <c r="F26" s="75" t="inlineStr">
        <is>
          <t>/</t>
        </is>
      </c>
    </row>
    <row r="27">
      <c r="A27" s="52" t="inlineStr">
        <is>
          <t>留电话率</t>
        </is>
      </c>
      <c r="B27" s="126" t="n">
        <v>0.5</v>
      </c>
      <c r="C27" s="85" t="inlineStr">
        <is>
          <t>/</t>
        </is>
      </c>
      <c r="D27" s="85" t="inlineStr">
        <is>
          <t>/</t>
        </is>
      </c>
      <c r="E27" s="85" t="inlineStr">
        <is>
          <t>/</t>
        </is>
      </c>
      <c r="F27" s="85" t="inlineStr">
        <is>
          <t>/</t>
        </is>
      </c>
      <c r="G27" s="116" t="n"/>
      <c r="H27" s="116" t="n"/>
    </row>
    <row r="28">
      <c r="A28" s="87" t="inlineStr">
        <is>
          <t>司拉司活动+新媒体引流</t>
        </is>
      </c>
      <c r="B28" s="46" t="n"/>
      <c r="C28" s="89" t="n"/>
      <c r="D28" s="89" t="n"/>
      <c r="E28" s="89" t="n"/>
      <c r="F28" s="50" t="n"/>
      <c r="G28" s="88" t="n"/>
      <c r="H28" s="89" t="n"/>
    </row>
    <row r="29" ht="91" customHeight="1" s="111">
      <c r="A29" s="90" t="inlineStr">
        <is>
          <t>注册（万）</t>
        </is>
      </c>
      <c r="B29" s="91" t="n">
        <v>0.1</v>
      </c>
      <c r="C29" s="54" t="n">
        <v>0.0468</v>
      </c>
      <c r="D29" s="121" t="n">
        <v>0.0119</v>
      </c>
      <c r="E29" s="54" t="n">
        <v>0.0071</v>
      </c>
      <c r="F29" s="54" t="n">
        <v>0.0071</v>
      </c>
      <c r="G29" s="86" t="n"/>
      <c r="H29" s="98" t="n"/>
    </row>
    <row r="30">
      <c r="A30" s="56" t="inlineStr">
        <is>
          <t>垂直招聘平台引流</t>
        </is>
      </c>
      <c r="B30" s="46" t="n"/>
      <c r="C30" s="89" t="n"/>
      <c r="D30" s="89" t="n"/>
      <c r="E30" s="89" t="n"/>
      <c r="F30" s="50" t="n"/>
      <c r="G30" s="128" t="inlineStr">
        <is>
          <t xml:space="preserve">
</t>
        </is>
      </c>
      <c r="H30" s="129" t="n"/>
    </row>
    <row r="31">
      <c r="A31" s="45" t="inlineStr">
        <is>
          <t>注册（万）</t>
        </is>
      </c>
      <c r="B31" s="45" t="n">
        <v>0.3</v>
      </c>
      <c r="C31" s="50" t="inlineStr">
        <is>
          <t>/</t>
        </is>
      </c>
      <c r="D31" s="50" t="inlineStr">
        <is>
          <t>/</t>
        </is>
      </c>
      <c r="E31" s="50" t="inlineStr">
        <is>
          <t>/</t>
        </is>
      </c>
      <c r="F31" s="50" t="inlineStr">
        <is>
          <t>/</t>
        </is>
      </c>
    </row>
    <row r="32">
      <c r="A32" s="45" t="inlineStr">
        <is>
          <t>获取电话（万）</t>
        </is>
      </c>
      <c r="B32" s="45" t="n">
        <v>1</v>
      </c>
      <c r="C32" s="50" t="n"/>
      <c r="D32" s="50" t="inlineStr">
        <is>
          <t>/</t>
        </is>
      </c>
      <c r="E32" s="50" t="inlineStr">
        <is>
          <t>/</t>
        </is>
      </c>
      <c r="F32" s="50" t="inlineStr">
        <is>
          <t>/</t>
        </is>
      </c>
    </row>
    <row r="33">
      <c r="A33" s="52" t="inlineStr">
        <is>
          <t>注册转化率</t>
        </is>
      </c>
      <c r="B33" s="126" t="n">
        <v>0.3</v>
      </c>
      <c r="C33" s="130" t="inlineStr">
        <is>
          <t>/</t>
        </is>
      </c>
      <c r="D33" s="130" t="inlineStr">
        <is>
          <t>/</t>
        </is>
      </c>
      <c r="E33" s="97" t="inlineStr">
        <is>
          <t>/</t>
        </is>
      </c>
      <c r="F33" s="130" t="inlineStr">
        <is>
          <t>/</t>
        </is>
      </c>
      <c r="G33" s="116" t="n"/>
      <c r="H33" s="116" t="n"/>
    </row>
  </sheetData>
  <mergeCells count="11">
    <mergeCell ref="A1:H1"/>
    <mergeCell ref="H9:H14"/>
    <mergeCell ref="G15:G21"/>
    <mergeCell ref="H30:H33"/>
    <mergeCell ref="G3:H7"/>
    <mergeCell ref="G30:G33"/>
    <mergeCell ref="H22:H27"/>
    <mergeCell ref="H15:H21"/>
    <mergeCell ref="A8:H8"/>
    <mergeCell ref="G22:G27"/>
    <mergeCell ref="G9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