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activeTab="1" windowHeight="15800" windowWidth="28040" xWindow="4240" yWindow="640"/>
  </bookViews>
  <sheets>
    <sheet name="Sheet1" sheetId="1" r:id="rId1"/>
    <sheet name="tbBkka" sheetId="2" r:id="rId5"/>
    <sheet name="kQX14j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<sst xmlns="http://schemas.openxmlformats.org/spreadsheetml/2006/main" count="84" uniqueCount="84">
  <si>
    <t xml:space="preserve">  </t>
  </si>
  <si>
    <t xml:space="preserve">8月目标</t>
  </si>
  <si>
    <t xml:space="preserve">8月实际值（MTD）</t>
  </si>
  <si>
    <t xml:space="preserve">目标完成进度</t>
  </si>
  <si>
    <t xml:space="preserve">7M4W</t>
  </si>
  <si>
    <t xml:space="preserve">8M1W</t>
  </si>
  <si>
    <t xml:space="preserve">本周进展</t>
  </si>
  <si>
    <t xml:space="preserve">下周规划</t>
  </si>
  <si>
    <t xml:space="preserve">7月运单量规模( 万单）</t>
  </si>
  <si>
    <t xml:space="preserve">7月峰值运单量（万单）</t>
  </si>
  <si>
    <t xml:space="preserve">线上增长贡献撮合运单规模</t>
  </si>
  <si>
    <t xml:space="preserve">  电销运单规模（万单）</t>
  </si>
  <si>
    <t xml:space="preserve">  投放运单规模（万单）</t>
  </si>
  <si>
    <t xml:space="preserve">  裂变运单规模（万单）</t>
  </si>
  <si>
    <t xml:space="preserve">   调度运单规模（万单）</t>
  </si>
  <si>
    <t xml:space="preserve">区域增长贡献撮合运单规模</t>
  </si>
  <si>
    <t xml:space="preserve"> 产品手册定期更新</t>
  </si>
  <si>
    <t xml:space="preserve">定期更新</t>
  </si>
  <si>
    <t xml:space="preserve">更新中</t>
  </si>
  <si>
    <t xml:space="preserve">  撮合业务介绍手册</t>
  </si>
  <si>
    <t xml:space="preserve">7月24日交付</t>
  </si>
  <si>
    <t xml:space="preserve">制作中</t>
  </si>
  <si>
    <t xml:space="preserve">  客户案例包装</t>
  </si>
  <si>
    <t xml:space="preserve">1个/月</t>
  </si>
  <si>
    <t xml:space="preserve">？</t>
  </si>
  <si>
    <t xml:space="preserve">开放货源成交运单量</t>
  </si>
  <si>
    <t xml:space="preserve">开放货源量</t>
  </si>
  <si>
    <t xml:space="preserve">开放货源成交率</t>
  </si>
  <si>
    <t xml:space="preserve">收取信息费运单规模/占比</t>
  </si>
  <si>
    <t xml:space="preserve">单均信息费金额</t>
  </si>
  <si>
    <t xml:space="preserve">匹配策略基建</t>
  </si>
  <si>
    <t xml:space="preserve">调度工作台运力推荐能力</t>
  </si>
  <si>
    <t xml:space="preserve">自然撮合完单货源占比</t>
  </si>
  <si>
    <t xml:space="preserve">货找车策略建设</t>
  </si>
  <si>
    <t xml:space="preserve">车找货策略建设</t>
  </si>
  <si>
    <t xml:space="preserve">价格能力建设</t>
  </si>
  <si>
    <t xml:space="preserve">参考价能力</t>
  </si>
  <si>
    <t xml:space="preserve">调度工作台价格能力建设</t>
  </si>
  <si>
    <t xml:space="preserve">产品体验提升</t>
  </si>
  <si>
    <t xml:space="preserve">货主体验专项推进</t>
  </si>
  <si>
    <t xml:space="preserve">司机体验专项推进</t>
  </si>
  <si>
    <t xml:space="preserve">异常运单量</t>
  </si>
  <si>
    <t xml:space="preserve">异常运单占比</t>
  </si>
  <si>
    <t xml:space="preserve">运费异常运单量</t>
  </si>
  <si>
    <t xml:space="preserve">秒装秒卸&amp;时速异常运单量</t>
  </si>
  <si>
    <t xml:space="preserve">行程异常运单量</t>
  </si>
  <si>
    <t xml:space="preserve">品牌力建设，品牌曝光规模</t>
  </si>
  <si>
    <t xml:space="preserve">曝光规模（万）</t>
  </si>
  <si>
    <t xml:space="preserve">司机</t>
  </si>
  <si>
    <t xml:space="preserve">指标/月份</t>
  </si>
  <si>
    <t xml:space="preserve">8月目标</t>
  </si>
  <si>
    <t xml:space="preserve">8月实际达成值</t>
  </si>
  <si>
    <t xml:space="preserve">7M3W</t>
  </si>
  <si>
    <t xml:space="preserve">7M4W</t>
  </si>
  <si>
    <t xml:space="preserve">8MW1</t>
  </si>
  <si>
    <t xml:space="preserve">本周进展</t>
  </si>
  <si>
    <t xml:space="preserve">下周规划</t>
  </si>
  <si>
    <t xml:space="preserve">O注册司机数152w</t>
  </si>
  <si>
    <t xml:space="preserve">线索司机数-累计（万）</t>
  </si>
  <si>
    <t xml:space="preserve">线索司机数-新增（万）</t>
  </si>
  <si>
    <t xml:space="preserve">注册司机数-累计</t>
  </si>
  <si>
    <t xml:space="preserve">注册司机数-新增（万）</t>
  </si>
  <si>
    <t xml:space="preserve">动作及预估收益</t>
  </si>
  <si>
    <t xml:space="preserve">新网线索转化</t>
  </si>
  <si>
    <t xml:space="preserve">注册（万）</t>
  </si>
  <si>
    <t xml:space="preserve">存量线索（万）</t>
  </si>
  <si>
    <t xml:space="preserve">有效线索占比</t>
  </si>
  <si>
    <t xml:space="preserve">触达率</t>
  </si>
  <si>
    <t xml:space="preserve">转化率</t>
  </si>
  <si>
    <t xml:space="preserve">微信私域转化</t>
  </si>
  <si>
    <t xml:space="preserve">入群人数（万）</t>
  </si>
  <si>
    <t xml:space="preserve">/</t>
  </si>
  <si>
    <t xml:space="preserve">群数量（个）</t>
  </si>
  <si>
    <t xml:space="preserve">群人数/群</t>
  </si>
  <si>
    <t xml:space="preserve">加微信通过率</t>
  </si>
  <si>
    <t xml:space="preserve">注册转化率</t>
  </si>
  <si>
    <t xml:space="preserve">区域联动</t>
  </si>
  <si>
    <t xml:space="preserve">货源条数</t>
  </si>
  <si>
    <t xml:space="preserve">条/货源</t>
  </si>
  <si>
    <t xml:space="preserve">留电话率</t>
  </si>
  <si>
    <t xml:space="preserve">司拉司活动+新媒体引流</t>
  </si>
  <si>
    <t xml:space="preserve">垂直招聘平台引流</t>
  </si>
  <si>
    <t xml:space="preserve">
</t>
  </si>
  <si>
    <t xml:space="preserve">获取电话（万）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</si>
</sst>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#,##0.00"/>
    <numFmt numFmtId="165" formatCode="0.00%"/>
    <numFmt numFmtId="166" formatCode="0"/>
    <numFmt numFmtId="167" formatCode="0.0%"/>
    <numFmt numFmtId="168" formatCode="#,##0"/>
    <numFmt numFmtId="169" formatCode="0%"/>
    <numFmt numFmtId="170" formatCode="0"/>
    <numFmt numFmtId="171" formatCode="0%"/>
    <numFmt numFmtId="172" formatCode="0.00%"/>
  </numFmts>
  <fonts count="14">
    <font>
      <sz val="12"/>
      <color theme="1"/>
      <name val="Calibri"/>
      <family val="2"/>
      <scheme val="minor"/>
    </font>
    <font>
      <sz val="11"/>
      <color rgb="FF000000"/>
      <name val="宋体"/>
      <family val="2"/>
    </font>
    <font>
      <sz val="11"/>
      <color rgb="FF000000"/>
      <name val="等线"/>
      <family val="2"/>
    </font>
    <font>
      <sz val="10"/>
      <color rgb="FF000000"/>
      <name val="Calibri"/>
      <family val="2"/>
      <scheme val="minor"/>
    </font>
    <font>
      <sz val="10"/>
      <color rgb="FF000000"/>
      <name val="等线"/>
      <family val="2"/>
    </font>
    <font>
      <sz val="11"/>
      <color rgb="FF000000"/>
      <name val="宋体-简"/>
      <family val="2"/>
    </font>
    <font>
      <sz val="9"/>
      <color rgb="FF000000"/>
      <name val="Calibri"/>
      <family val="2"/>
      <scheme val="minor"/>
    </font>
    <font>
      <b val="true"/>
      <sz val="14"/>
      <color rgb="FF000000"/>
      <name val="宋体-简"/>
      <family val="2"/>
    </font>
    <font>
      <sz val="11"/>
      <color rgb="FF333333"/>
      <name val="等线"/>
      <family val="2"/>
    </font>
    <font>
      <sz val="12"/>
      <color rgb="FF000000"/>
      <name val="宋体-简"/>
      <family val="2"/>
    </font>
    <font>
      <sz val="10"/>
      <color rgb="FF333333"/>
      <name val="等线"/>
      <family val="2"/>
    </font>
    <font>
      <sz val="10"/>
      <color rgb="FF373C43"/>
      <name val="Calibri"/>
      <family val="2"/>
      <scheme val="minor"/>
    </font>
    <font>
      <sz val="10"/>
      <color rgb="FF000000"/>
      <name val="宋体-简"/>
      <family val="2"/>
    </font>
    <font>
      <sz val="10"/>
      <color rgb="FF000000"/>
      <name val="Calibri"/>
      <family val="2"/>
      <scheme val="minor"/>
    </font>
  </fonts>
  <fills count="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F5D6"/>
        <bgColor/>
      </patternFill>
    </fill>
    <fill>
      <patternFill patternType="solid">
        <fgColor rgb="FFFAF1D1"/>
        <bgColor/>
      </patternFill>
    </fill>
    <fill>
      <patternFill patternType="solid">
        <fgColor rgb="FFE5EFFF"/>
        <bgColor/>
      </patternFill>
    </fill>
    <fill>
      <patternFill patternType="solid">
        <fgColor rgb="FFC7ECFF"/>
        <bgColor/>
      </patternFill>
    </fill>
    <fill>
      <patternFill patternType="solid">
        <fgColor rgb="FFEAFAF1"/>
        <bgColor/>
      </patternFill>
    </fill>
    <fill>
      <patternFill patternType="solid">
        <fgColor rgb="FFFFF9E3"/>
        <bgColor/>
      </patternFill>
    </fill>
  </fills>
  <borders count="6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ck">
        <color rgb="FF1F2329"/>
      </bottom>
      <diagonal/>
    </border>
    <border>
      <left/>
      <right/>
      <top/>
      <bottom style="thick">
        <color rgb="FF1F2329"/>
      </bottom>
      <diagonal/>
    </border>
    <border>
      <left/>
      <right/>
      <top style="medium">
        <color rgb="FFCBCDD1"/>
      </top>
      <bottom/>
      <diagonal/>
    </border>
    <border>
      <left/>
      <right/>
      <top style="medium">
        <color rgb="FFCBCDD1"/>
      </top>
      <bottom style="thick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vertical="center"/>
    </xf>
    <xf applyAlignment="true" applyBorder="false" applyFill="true" applyFont="true" applyNumberFormat="true" applyProtection="false" borderId="0" fillId="2" fontId="1" numFmtId="164" xfId="0">
      <alignment horizontal="center" vertical="center"/>
    </xf>
    <xf applyAlignment="true" applyBorder="false" applyFill="true" applyFont="true" applyNumberFormat="true" applyProtection="false" borderId="0" fillId="2" fontId="1" numFmtId="164" xfId="0">
      <alignment horizontal="center" vertical="center"/>
    </xf>
    <xf applyAlignment="true" applyBorder="false" applyFill="true" applyFont="true" applyNumberFormat="true" applyProtection="false" borderId="0" fillId="2" fontId="1" numFmtId="165" xfId="0">
      <alignment horizontal="center" vertical="center"/>
    </xf>
    <xf applyAlignment="true" applyBorder="false" applyFill="true" applyFont="true" applyNumberFormat="false" applyProtection="false" borderId="0" fillId="2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left" vertical="center"/>
    </xf>
    <xf applyAlignment="true" applyBorder="false" applyFill="false" applyFont="true" applyNumberFormat="true" applyProtection="false" borderId="0" fillId="0" fontId="1" numFmtId="164" xfId="0">
      <alignment horizontal="center" vertical="center"/>
    </xf>
    <xf applyAlignment="true" applyBorder="false" applyFill="false" applyFont="true" applyNumberFormat="true" applyProtection="false" borderId="0" fillId="0" fontId="1" numFmtId="164" xfId="0">
      <alignment horizontal="center" vertical="center"/>
    </xf>
    <xf applyAlignment="true" applyBorder="false" applyFill="false" applyFont="true" applyNumberFormat="true" applyProtection="false" borderId="0" fillId="0" fontId="1" numFmtId="165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true" applyFont="true" applyNumberFormat="false" applyProtection="false" borderId="0" fillId="3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false" applyFont="true" applyNumberFormat="true" applyProtection="false" borderId="0" fillId="0" fontId="3" numFmtId="164" xfId="0">
      <alignment horizontal="center" vertical="center"/>
    </xf>
    <xf applyAlignment="true" applyBorder="false" applyFill="false" applyFont="true" applyNumberFormat="true" applyProtection="false" borderId="0" fillId="0" fontId="4" numFmtId="164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false" applyFont="true" applyNumberFormat="true" applyProtection="false" borderId="0" fillId="0" fontId="1" numFmtId="166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true" applyProtection="false" borderId="0" fillId="0" fontId="1" numFmtId="167" xfId="0">
      <alignment horizontal="center" vertical="center"/>
    </xf>
    <xf applyAlignment="true" applyBorder="false" applyFill="false" applyFont="true" applyNumberFormat="true" applyProtection="false" borderId="0" fillId="0" fontId="1" numFmtId="168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left" vertical="center" wrapText="true"/>
    </xf>
    <xf applyAlignment="true" applyBorder="false" applyFill="false" applyFont="true" applyNumberFormat="false" applyProtection="false" borderId="0" fillId="0" fontId="5" numFmtId="0" xfId="0">
      <alignment horizontal="center" vertical="center" wrapText="true"/>
    </xf>
    <xf applyAlignment="true" applyBorder="false" applyFill="true" applyFont="true" applyNumberFormat="false" applyProtection="false" borderId="0" fillId="2" fontId="5" numFmtId="0" xfId="0">
      <alignment horizontal="left" vertical="center" wrapText="true"/>
    </xf>
    <xf applyAlignment="true" applyBorder="false" applyFill="true" applyFont="true" applyNumberFormat="false" applyProtection="false" borderId="0" fillId="2" fontId="5" numFmtId="0" xfId="0">
      <alignment horizontal="left" vertical="center" wrapText="true"/>
    </xf>
    <xf applyAlignment="true" applyBorder="false" applyFill="true" applyFont="true" applyNumberFormat="false" applyProtection="false" borderId="0" fillId="2" fontId="5" numFmtId="0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horizontal="left" vertical="center" wrapText="true"/>
    </xf>
    <xf applyAlignment="true" applyBorder="false" applyFill="false" applyFont="true" applyNumberFormat="true" applyProtection="false" borderId="0" fillId="0" fontId="5" numFmtId="169" xfId="0">
      <alignment horizontal="center" vertical="center" wrapText="true"/>
    </xf>
    <xf applyAlignment="true" applyBorder="false" applyFill="false" applyFont="true" applyNumberFormat="true" applyProtection="false" borderId="0" fillId="0" fontId="6" numFmtId="165" xfId="0">
      <alignment horizontal="center" vertical="center" wrapText="true"/>
    </xf>
    <xf applyAlignment="true" applyBorder="false" applyFill="false" applyFont="true" applyNumberFormat="true" applyProtection="false" borderId="0" fillId="0" fontId="6" numFmtId="169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true" applyProtection="false" borderId="0" fillId="0" fontId="1" numFmtId="167" xfId="0">
      <alignment horizontal="center" vertical="center"/>
    </xf>
    <xf applyAlignment="true" applyBorder="false" applyFill="false" applyFont="true" applyNumberFormat="true" applyProtection="false" borderId="0" fillId="0" fontId="1" numFmtId="169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left" vertical="center" wrapText="true"/>
    </xf>
    <xf applyAlignment="true" applyBorder="false" applyFill="false" applyFont="true" applyNumberFormat="false" applyProtection="false" borderId="0" fillId="0" fontId="5" numFmtId="0" xfId="0">
      <alignment horizontal="left" vertical="center" wrapText="true"/>
    </xf>
    <xf applyAlignment="true" applyBorder="false" applyFill="false" applyFont="true" applyNumberFormat="false" applyProtection="false" borderId="0" fillId="0" fontId="5" numFmtId="0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horizontal="center" vertical="center" wrapText="true"/>
    </xf>
    <xf applyAlignment="true" applyBorder="false" applyFill="false" applyFont="true" applyNumberFormat="false" applyProtection="false" borderId="0" fillId="0" fontId="7" numFmtId="0" xfId="0">
      <alignment horizontal="left" vertical="bottom" wrapText="true"/>
    </xf>
    <xf applyAlignment="true" applyBorder="false" applyFill="false" applyFont="true" applyNumberFormat="false" applyProtection="false" borderId="1" fillId="0" fontId="5" numFmtId="0" xfId="0">
      <alignment horizontal="left" vertical="bottom" wrapText="true"/>
    </xf>
    <xf applyAlignment="true" applyBorder="false" applyFill="false" applyFont="true" applyNumberFormat="true" applyProtection="false" borderId="1" fillId="0" fontId="8" numFmtId="170" xfId="0">
      <alignment horizontal="left" vertical="bottom" wrapText="true"/>
    </xf>
    <xf applyAlignment="true" applyBorder="false" applyFill="false" applyFont="true" applyNumberFormat="false" applyProtection="false" borderId="0" fillId="0" fontId="5" numFmtId="0" xfId="0">
      <alignment horizontal="left" vertical="bottom" wrapText="true"/>
    </xf>
    <xf applyAlignment="true" applyBorder="false" applyFill="false" applyFont="true" applyNumberFormat="false" applyProtection="false" borderId="0" fillId="0" fontId="8" numFmtId="0" xfId="0">
      <alignment horizontal="left" vertical="bottom" wrapText="true"/>
    </xf>
    <xf applyAlignment="true" applyBorder="false" applyFill="false" applyFont="true" applyNumberFormat="false" applyProtection="false" borderId="0" fillId="0" fontId="8" numFmtId="0" xfId="0">
      <alignment horizontal="left" vertical="center" wrapText="true"/>
    </xf>
    <xf applyAlignment="true" applyBorder="false" applyFill="false" applyFont="true" applyNumberFormat="true" applyProtection="false" borderId="0" fillId="0" fontId="8" numFmtId="170" xfId="0">
      <alignment horizontal="left" vertical="center" wrapText="true"/>
    </xf>
    <xf applyAlignment="true" applyBorder="false" applyFill="false" applyFont="true" applyNumberFormat="true" applyProtection="false" borderId="0" fillId="0" fontId="8" numFmtId="17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center"/>
    </xf>
    <xf applyAlignment="true" applyBorder="false" applyFill="false" applyFont="true" applyNumberFormat="true" applyProtection="false" borderId="0" fillId="0" fontId="3" numFmtId="171" xfId="0">
      <alignment horizontal="left" vertical="center"/>
    </xf>
    <xf applyAlignment="true" applyBorder="false" applyFill="false" applyFont="true" applyNumberFormat="false" applyProtection="false" borderId="2" fillId="0" fontId="5" numFmtId="0" xfId="0">
      <alignment horizontal="left" vertical="bottom" wrapText="true"/>
    </xf>
    <xf applyAlignment="true" applyBorder="false" applyFill="false" applyFont="true" applyNumberFormat="false" applyProtection="false" borderId="3" fillId="0" fontId="5" numFmtId="0" xfId="0">
      <alignment horizontal="left" vertical="bottom" wrapText="true"/>
    </xf>
    <xf applyAlignment="true" applyBorder="false" applyFill="false" applyFont="true" applyNumberFormat="false" applyProtection="false" borderId="3" fillId="0" fontId="3" numFmtId="0" xfId="0">
      <alignment horizontal="left" vertical="center"/>
    </xf>
    <xf applyAlignment="true" applyBorder="false" applyFill="false" applyFont="true" applyNumberFormat="true" applyProtection="false" borderId="2" fillId="0" fontId="8" numFmtId="170" xfId="0">
      <alignment horizontal="left" vertical="center" wrapText="true"/>
    </xf>
    <xf applyAlignment="true" applyBorder="false" applyFill="true" applyFont="true" applyNumberFormat="false" applyProtection="false" borderId="0" fillId="4" fontId="9" numFmtId="0" xfId="0">
      <alignment horizontal="left" vertical="bottom" wrapText="true"/>
    </xf>
    <xf applyAlignment="true" applyBorder="false" applyFill="false" applyFont="true" applyNumberFormat="true" applyProtection="false" borderId="4" fillId="0" fontId="8" numFmtId="170" xfId="0">
      <alignment horizontal="left" vertical="center" wrapText="true"/>
    </xf>
    <xf applyAlignment="true" applyBorder="false" applyFill="false" applyFont="true" applyNumberFormat="true" applyProtection="false" borderId="4" fillId="0" fontId="10" numFmtId="170" xfId="0">
      <alignment horizontal="left" vertical="center" wrapText="true"/>
    </xf>
    <xf applyAlignment="true" applyBorder="false" applyFill="false" applyFont="true" applyNumberFormat="true" applyProtection="false" borderId="4" fillId="0" fontId="8" numFmtId="170" xfId="0">
      <alignment horizontal="left" vertical="center" wrapText="true"/>
    </xf>
    <xf applyAlignment="true" applyBorder="false" applyFill="false" applyFont="true" applyNumberFormat="true" applyProtection="false" borderId="4" fillId="0" fontId="10" numFmtId="170" xfId="0">
      <alignment horizontal="left" vertical="center" wrapText="true"/>
    </xf>
    <xf applyAlignment="true" applyBorder="false" applyFill="false" applyFont="true" applyNumberFormat="true" applyProtection="false" borderId="0" fillId="0" fontId="5" numFmtId="171" xfId="0">
      <alignment horizontal="left" vertical="bottom" wrapText="true"/>
    </xf>
    <xf applyAlignment="true" applyBorder="false" applyFill="false" applyFont="true" applyNumberFormat="true" applyProtection="false" borderId="0" fillId="0" fontId="3" numFmtId="171" xfId="0">
      <alignment horizontal="left" vertical="center"/>
    </xf>
    <xf applyAlignment="true" applyBorder="false" applyFill="false" applyFont="true" applyNumberFormat="true" applyProtection="false" borderId="0" fillId="0" fontId="3" numFmtId="171" xfId="0">
      <alignment horizontal="left" vertical="center"/>
    </xf>
    <xf applyAlignment="true" applyBorder="false" applyFill="false" applyFont="true" applyNumberFormat="true" applyProtection="false" borderId="3" fillId="0" fontId="5" numFmtId="171" xfId="0">
      <alignment horizontal="left" vertical="bottom" wrapText="true"/>
    </xf>
    <xf applyAlignment="true" applyBorder="false" applyFill="false" applyFont="true" applyNumberFormat="true" applyProtection="false" borderId="3" fillId="0" fontId="3" numFmtId="171" xfId="0">
      <alignment horizontal="left" vertical="center"/>
    </xf>
    <xf applyAlignment="true" applyBorder="false" applyFill="false" applyFont="true" applyNumberFormat="true" applyProtection="false" borderId="5" fillId="0" fontId="8" numFmtId="170" xfId="0">
      <alignment horizontal="left" vertical="center" wrapText="true"/>
    </xf>
    <xf applyAlignment="true" applyBorder="false" applyFill="false" applyFont="true" applyNumberFormat="true" applyProtection="false" borderId="5" fillId="0" fontId="10" numFmtId="170" xfId="0">
      <alignment horizontal="left" vertical="center" wrapText="true"/>
    </xf>
    <xf applyAlignment="true" applyBorder="false" applyFill="true" applyFont="true" applyNumberFormat="false" applyProtection="false" borderId="0" fillId="5" fontId="9" numFmtId="0" xfId="0">
      <alignment horizontal="left" vertical="bottom" wrapText="true"/>
    </xf>
    <xf applyAlignment="true" applyBorder="false" applyFill="false" applyFont="true" applyNumberFormat="true" applyProtection="false" borderId="0" fillId="0" fontId="10" numFmtId="170" xfId="0">
      <alignment horizontal="left" vertical="center" wrapText="true"/>
    </xf>
    <xf applyAlignment="true" applyBorder="false" applyFill="false" applyFont="true" applyNumberFormat="true" applyProtection="false" borderId="0" fillId="0" fontId="11" numFmtId="170" xfId="0">
      <alignment horizontal="left" vertical="center" wrapText="true"/>
    </xf>
    <xf applyAlignment="true" applyBorder="false" applyFill="false" applyFont="true" applyNumberFormat="false" applyProtection="false" borderId="4" fillId="0" fontId="5" numFmtId="0" xfId="0">
      <alignment horizontal="left" vertical="bottom" wrapText="true"/>
    </xf>
    <xf applyAlignment="true" applyBorder="false" applyFill="false" applyFont="true" applyNumberFormat="true" applyProtection="false" borderId="0" fillId="0" fontId="10" numFmtId="170" xfId="0">
      <alignment horizontal="left" vertical="center" wrapText="true"/>
    </xf>
    <xf applyAlignment="true" applyBorder="false" applyFill="false" applyFont="true" applyNumberFormat="true" applyProtection="false" borderId="0" fillId="0" fontId="12" numFmtId="172" xfId="0">
      <alignment horizontal="left" vertical="center" wrapText="true"/>
    </xf>
    <xf applyAlignment="true" applyBorder="false" applyFill="false" applyFont="true" applyNumberFormat="true" applyProtection="false" borderId="0" fillId="0" fontId="12" numFmtId="171" xfId="0">
      <alignment horizontal="left" vertical="center" wrapText="true"/>
    </xf>
    <xf applyAlignment="true" applyBorder="false" applyFill="false" applyFont="true" applyNumberFormat="false" applyProtection="false" borderId="0" fillId="0" fontId="12" numFmtId="0" xfId="0">
      <alignment horizontal="left" vertical="center" wrapText="true"/>
    </xf>
    <xf applyAlignment="true" applyBorder="false" applyFill="false" applyFont="true" applyNumberFormat="true" applyProtection="false" borderId="2" fillId="0" fontId="5" numFmtId="171" xfId="0">
      <alignment horizontal="left" vertical="bottom" wrapText="true"/>
    </xf>
    <xf applyAlignment="true" applyBorder="false" applyFill="false" applyFont="true" applyNumberFormat="true" applyProtection="false" borderId="2" fillId="0" fontId="12" numFmtId="172" xfId="0">
      <alignment horizontal="left" vertical="center" wrapText="true"/>
    </xf>
    <xf applyAlignment="true" applyBorder="false" applyFill="false" applyFont="true" applyNumberFormat="false" applyProtection="false" borderId="2" fillId="0" fontId="12" numFmtId="0" xfId="0">
      <alignment horizontal="left" vertical="center" wrapText="true"/>
    </xf>
    <xf applyAlignment="true" applyBorder="false" applyFill="false" applyFont="true" applyNumberFormat="true" applyProtection="false" borderId="2" fillId="0" fontId="10" numFmtId="170" xfId="0">
      <alignment horizontal="left" vertical="center" wrapText="true"/>
    </xf>
    <xf applyAlignment="true" applyBorder="false" applyFill="false" applyFont="true" applyNumberFormat="true" applyProtection="false" borderId="2" fillId="0" fontId="11" numFmtId="170" xfId="0">
      <alignment horizontal="left" vertical="center" wrapText="true"/>
    </xf>
    <xf applyAlignment="true" applyBorder="false" applyFill="true" applyFont="true" applyNumberFormat="false" applyProtection="false" borderId="0" fillId="6" fontId="9" numFmtId="0" xfId="0">
      <alignment horizontal="left" vertical="bottom" wrapText="true"/>
    </xf>
    <xf applyAlignment="true" applyBorder="false" applyFill="false" applyFont="true" applyNumberFormat="false" applyProtection="false" borderId="0" fillId="0" fontId="11" numFmtId="0" xfId="0">
      <alignment horizontal="left" vertical="center" wrapText="true"/>
    </xf>
    <xf applyAlignment="true" applyBorder="false" applyFill="false" applyFont="true" applyNumberFormat="false" applyProtection="false" borderId="0" fillId="0" fontId="11" numFmtId="0" xfId="0">
      <alignment horizontal="left" vertical="center" wrapText="true"/>
    </xf>
    <xf applyAlignment="true" applyBorder="false" applyFill="false" applyFont="true" applyNumberFormat="true" applyProtection="false" borderId="0" fillId="0" fontId="12" numFmtId="171" xfId="0">
      <alignment horizontal="left" vertical="center" wrapText="true"/>
    </xf>
    <xf applyAlignment="true" applyBorder="false" applyFill="false" applyFont="true" applyNumberFormat="false" applyProtection="false" borderId="3" fillId="0" fontId="12" numFmtId="0" xfId="0">
      <alignment horizontal="left" vertical="center" wrapText="true"/>
    </xf>
    <xf applyAlignment="true" applyBorder="false" applyFill="false" applyFont="true" applyNumberFormat="false" applyProtection="false" borderId="2" fillId="0" fontId="11" numFmtId="0" xfId="0">
      <alignment horizontal="left" vertical="center" wrapText="true"/>
    </xf>
    <xf applyAlignment="true" applyBorder="false" applyFill="true" applyFont="true" applyNumberFormat="false" applyProtection="false" borderId="0" fillId="7" fontId="9" numFmtId="0" xfId="0">
      <alignment horizontal="left" vertical="bottom" wrapText="true"/>
    </xf>
    <xf applyAlignment="true" applyBorder="false" applyFill="false" applyFont="true" applyNumberFormat="false" applyProtection="false" borderId="0" fillId="0" fontId="13" numFmtId="0" xfId="0">
      <alignment vertical="center" wrapText="true"/>
    </xf>
    <xf applyAlignment="true" applyBorder="false" applyFill="false" applyFont="true" applyNumberFormat="false" applyProtection="false" borderId="0" fillId="0" fontId="8" numFmtId="0" xfId="0">
      <alignment horizontal="left" vertical="center" wrapText="true"/>
    </xf>
    <xf applyAlignment="true" applyBorder="false" applyFill="false" applyFont="true" applyNumberFormat="false" applyProtection="false" borderId="2" fillId="0" fontId="5" numFmtId="0" xfId="0">
      <alignment horizontal="center" vertical="bottom" wrapText="true"/>
    </xf>
    <xf applyAlignment="true" applyBorder="false" applyFill="false" applyFont="true" applyNumberFormat="false" applyProtection="false" borderId="3" fillId="0" fontId="5" numFmtId="0" xfId="0">
      <alignment horizontal="center" vertical="bottom" wrapText="true"/>
    </xf>
    <xf applyAlignment="true" applyBorder="false" applyFill="false" applyFont="true" applyNumberFormat="true" applyProtection="false" borderId="3" fillId="0" fontId="3" numFmtId="171" xfId="0">
      <alignment horizontal="left" vertical="center"/>
    </xf>
    <xf applyAlignment="true" applyBorder="false" applyFill="false" applyFont="true" applyNumberFormat="false" applyProtection="false" borderId="2" fillId="0" fontId="11" numFmtId="0" xfId="0">
      <alignment horizontal="left" vertical="center"/>
    </xf>
    <xf applyAlignment="true" applyBorder="false" applyFill="false" applyFont="true" applyNumberFormat="false" applyProtection="false" borderId="0" fillId="0" fontId="11" numFmtId="0" xfId="0">
      <alignment horizontal="left" vertical="center"/>
    </xf>
    <xf applyAlignment="true" applyBorder="false" applyFill="false" applyFont="true" applyNumberFormat="true" applyProtection="false" borderId="2" fillId="0" fontId="3" numFmtId="171" xfId="0">
      <alignment horizontal="left" vertical="center"/>
    </xf>
    <xf applyAlignment="true" applyBorder="false" applyFill="false" applyFont="true" applyNumberFormat="true" applyProtection="false" borderId="2" fillId="0" fontId="3" numFmtId="171" xfId="0">
      <alignment horizontal="left" vertical="center"/>
    </xf>
    <xf applyAlignment="true" applyBorder="false" applyFill="false" applyFont="true" applyNumberFormat="false" applyProtection="false" borderId="2" fillId="0" fontId="3" numFmtId="0" xfId="0">
      <alignment horizontal="left" vertical="center"/>
    </xf>
    <xf applyAlignment="true" applyBorder="false" applyFill="false" applyFont="true" applyNumberFormat="false" applyProtection="false" borderId="2" fillId="0" fontId="11" numFmtId="0" xfId="0">
      <alignment horizontal="lef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selection activeCell="B5" sqref="B5"/>
    </sheetView>
  </sheetViews>
  <sheetFormatPr defaultColWidth="13" defaultRowHeight="20"/>
  <sheetData/>
  <pageMargins bottom="0.75" footer="0.3" header="0.3" left="0.7" right="0.7" top="0.75"/>
  <picture r:id="rId1"/>
</worksheet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B2" xSplit="1" ySplit="1"/>
    </sheetView>
  </sheetViews>
  <sheetFormatPr defaultColWidth="13" defaultRowHeight="20"/>
  <cols>
    <col collapsed="false" customWidth="true" hidden="false" max="7" min="7" style="0" width="29"/>
    <col collapsed="false" customWidth="true" hidden="false" max="8" min="8" style="0" width="26"/>
    <col collapsed="false" customWidth="true" hidden="false" max="1" min="1" style="0" width="28"/>
    <col collapsed="false" customWidth="true" hidden="false" max="3" min="3" style="0" width="17"/>
    <col collapsed="false" customWidth="true" hidden="false" max="4" min="4" style="0" width="13"/>
    <col collapsed="false" customWidth="true" hidden="false" max="5" min="5" style="0" width="13"/>
    <col collapsed="false" customWidth="true" hidden="false" max="6" min="6" style="0" width="13"/>
  </cols>
  <sheetData>
    <row r="1">
      <c r="A1" s="1"/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>
      <c r="A2" s="3" t="s">
        <v>8</v>
      </c>
      <c r="B2" s="4">
        <v>180.3549</v>
      </c>
      <c r="C2" s="5">
        <v>9.5578</v>
      </c>
      <c r="D2" s="6">
        <f t="shared" ref="D2:D9" si="0">C2/B2</f>
      </c>
      <c r="E2" s="5">
        <v>28.3082</v>
      </c>
      <c r="F2" s="5">
        <v>20.4555</v>
      </c>
      <c r="G2" s="7"/>
      <c r="H2" s="7"/>
    </row>
    <row r="3">
      <c r="A3" s="8" t="s">
        <v>9</v>
      </c>
      <c r="B3" s="9">
        <v>7.789999999999999</v>
      </c>
      <c r="C3" s="10">
        <v>2.72</v>
      </c>
      <c r="D3" s="11">
        <f t="shared" si="0"/>
      </c>
      <c r="E3" s="12">
        <v>4.91</v>
      </c>
      <c r="F3" s="12">
        <v>4</v>
      </c>
      <c r="G3" s="13"/>
      <c r="H3" s="13"/>
    </row>
    <row r="4">
      <c r="A4" s="14" t="s">
        <v>10</v>
      </c>
      <c r="B4" s="9">
        <v>14.428391999999999</v>
      </c>
      <c r="C4" s="9">
        <v>1.2023</v>
      </c>
      <c r="D4" s="11">
        <f t="shared" si="0"/>
      </c>
      <c r="E4" s="15">
        <v>2.8765</v>
      </c>
      <c r="F4" s="15">
        <v>2.5141</v>
      </c>
      <c r="G4" s="16"/>
      <c r="H4" s="16"/>
    </row>
    <row r="5">
      <c r="A5" s="8" t="s">
        <v>11</v>
      </c>
      <c r="B5" s="9">
        <v>2.382499939422329</v>
      </c>
      <c r="C5" s="10">
        <v>0.4383</v>
      </c>
      <c r="D5" s="11">
        <f t="shared" si="0"/>
      </c>
      <c r="E5" s="17">
        <v>1.257916666</v>
      </c>
      <c r="F5" s="17">
        <v>0.9112</v>
      </c>
      <c r="G5" s="16"/>
      <c r="H5" s="16"/>
    </row>
    <row r="6">
      <c r="A6" s="8" t="s">
        <v>12</v>
      </c>
      <c r="B6" s="9">
        <v>7.0737253904769695</v>
      </c>
      <c r="C6" s="10">
        <v>0.65075</v>
      </c>
      <c r="D6" s="11">
        <f t="shared" si="0"/>
      </c>
      <c r="E6" s="17">
        <v>1.451666666</v>
      </c>
      <c r="F6" s="17">
        <v>1.442</v>
      </c>
      <c r="G6" s="16"/>
      <c r="H6" s="16"/>
    </row>
    <row r="7">
      <c r="A7" s="8" t="s">
        <v>13</v>
      </c>
      <c r="B7" s="9">
        <v>1.363680426853391</v>
      </c>
      <c r="C7" s="10">
        <v>0.0695</v>
      </c>
      <c r="D7" s="11">
        <f t="shared" si="0"/>
      </c>
      <c r="E7" s="17">
        <v>0.053616666</v>
      </c>
      <c r="F7" s="17">
        <v>0.08775</v>
      </c>
      <c r="G7" s="16"/>
      <c r="H7" s="16"/>
    </row>
    <row r="8">
      <c r="A8" s="2" t="s">
        <v>14</v>
      </c>
      <c r="B8" s="9">
        <v>3.6084862432473077</v>
      </c>
      <c r="C8" s="18">
        <v>0.02425</v>
      </c>
      <c r="D8" s="11">
        <f t="shared" si="0"/>
      </c>
      <c r="E8" s="9">
        <v>0.1099</v>
      </c>
      <c r="F8" s="9">
        <v>0.05305</v>
      </c>
      <c r="G8" s="16"/>
      <c r="H8" s="16"/>
    </row>
    <row r="9">
      <c r="A9" s="14" t="s">
        <v>15</v>
      </c>
      <c r="B9" s="12">
        <v>174.94</v>
      </c>
      <c r="C9" s="15">
        <v>9.5372</v>
      </c>
      <c r="D9" s="11">
        <f t="shared" si="0"/>
      </c>
      <c r="E9" s="19">
        <v>28.31</v>
      </c>
      <c r="F9" s="19">
        <v>20.43</v>
      </c>
      <c r="G9" s="16"/>
      <c r="H9" s="16"/>
    </row>
    <row r="10">
      <c r="A10" s="8" t="s">
        <v>16</v>
      </c>
      <c r="B10" s="15" t="s">
        <v>17</v>
      </c>
      <c r="C10" s="12" t="s">
        <v>18</v>
      </c>
      <c r="D10" s="15"/>
      <c r="E10" s="15"/>
      <c r="F10" s="15"/>
      <c r="G10" s="16"/>
      <c r="H10" s="16"/>
    </row>
    <row r="11">
      <c r="A11" s="8" t="s">
        <v>19</v>
      </c>
      <c r="B11" s="15" t="s">
        <v>20</v>
      </c>
      <c r="C11" s="12" t="s">
        <v>21</v>
      </c>
      <c r="D11" s="15"/>
      <c r="E11" s="15"/>
      <c r="F11" s="15"/>
      <c r="G11" s="16"/>
      <c r="H11" s="16"/>
    </row>
    <row r="12">
      <c r="A12" s="8" t="s">
        <v>22</v>
      </c>
      <c r="B12" s="15" t="s">
        <v>23</v>
      </c>
      <c r="C12" s="12" t="s">
        <v>24</v>
      </c>
      <c r="D12" s="15"/>
      <c r="E12" s="15"/>
      <c r="F12" s="15"/>
      <c r="G12" s="16"/>
      <c r="H12" s="16"/>
    </row>
    <row r="13">
      <c r="A13" s="1"/>
      <c r="B13" s="1"/>
      <c r="C13" s="15"/>
      <c r="D13" s="15"/>
      <c r="E13" s="15"/>
      <c r="F13" s="15"/>
      <c r="G13" s="16"/>
      <c r="H13" s="16"/>
    </row>
    <row r="14">
      <c r="A14" s="3" t="s">
        <v>25</v>
      </c>
      <c r="B14" s="7"/>
      <c r="C14" s="20">
        <v>15828</v>
      </c>
      <c r="D14" s="21"/>
      <c r="E14" s="20">
        <v>44997</v>
      </c>
      <c r="F14" s="20">
        <v>34002</v>
      </c>
      <c r="G14" s="7"/>
      <c r="H14" s="7"/>
    </row>
    <row r="15">
      <c r="A15" s="2" t="s">
        <v>26</v>
      </c>
      <c r="B15" s="1"/>
      <c r="C15" s="12">
        <v>815</v>
      </c>
      <c r="D15" s="15"/>
      <c r="E15" s="22">
        <v>1842</v>
      </c>
      <c r="F15" s="22">
        <v>1791</v>
      </c>
      <c r="G15" s="13"/>
      <c r="H15" s="23"/>
    </row>
    <row r="16">
      <c r="A16" s="2" t="s">
        <v>27</v>
      </c>
      <c r="B16" s="1"/>
      <c r="C16" s="11">
        <v>0.7117</v>
      </c>
      <c r="D16" s="15"/>
      <c r="E16" s="24">
        <v>0.7519</v>
      </c>
      <c r="F16" s="24">
        <v>0.7426</v>
      </c>
      <c r="G16" s="13"/>
      <c r="H16" s="23"/>
    </row>
    <row r="17">
      <c r="A17" s="2" t="s">
        <v>28</v>
      </c>
      <c r="B17" s="1"/>
      <c r="C17" s="12">
        <v>519</v>
      </c>
      <c r="D17" s="15"/>
      <c r="E17" s="22">
        <v>941</v>
      </c>
      <c r="F17" s="22">
        <v>1026</v>
      </c>
      <c r="G17" s="13"/>
      <c r="H17" s="23"/>
    </row>
    <row r="18">
      <c r="A18" s="2" t="s">
        <v>29</v>
      </c>
      <c r="B18" s="1"/>
      <c r="C18" s="25">
        <v>27.09</v>
      </c>
      <c r="D18" s="15"/>
      <c r="E18" s="10">
        <v>26.64</v>
      </c>
      <c r="F18" s="10">
        <v>25.83</v>
      </c>
      <c r="G18" s="13"/>
      <c r="H18" s="23"/>
    </row>
    <row r="19">
      <c r="A19" s="26"/>
      <c r="B19" s="27"/>
      <c r="C19" s="27"/>
      <c r="D19" s="27"/>
      <c r="E19" s="27"/>
      <c r="F19" s="27"/>
      <c r="G19" s="13"/>
      <c r="H19" s="23"/>
    </row>
    <row r="20">
      <c r="A20" s="28" t="s">
        <v>30</v>
      </c>
      <c r="B20" s="29"/>
      <c r="C20" s="30"/>
      <c r="D20" s="30"/>
      <c r="E20" s="29"/>
      <c r="F20" s="29"/>
      <c r="G20" s="7"/>
      <c r="H20" s="7"/>
    </row>
    <row r="21">
      <c r="A21" s="31" t="s">
        <v>31</v>
      </c>
      <c r="B21" s="32">
        <v>0.1</v>
      </c>
      <c r="C21" s="33">
        <v>0.0018</v>
      </c>
      <c r="D21" s="11">
        <f>C21/B21</f>
      </c>
      <c r="E21" s="34">
        <v>0</v>
      </c>
      <c r="F21" s="34">
        <v>0</v>
      </c>
      <c r="G21" s="13"/>
      <c r="H21" s="13"/>
    </row>
    <row r="22">
      <c r="A22" s="31" t="s">
        <v>32</v>
      </c>
      <c r="B22" s="27"/>
      <c r="C22" s="27"/>
      <c r="D22" s="27"/>
      <c r="E22" s="27"/>
      <c r="F22" s="27"/>
      <c r="G22" s="16"/>
      <c r="H22" s="16"/>
    </row>
    <row r="23">
      <c r="A23" s="31" t="s">
        <v>33</v>
      </c>
      <c r="B23" s="26"/>
      <c r="C23" s="27"/>
      <c r="D23" s="27"/>
      <c r="E23" s="26"/>
      <c r="F23" s="26"/>
      <c r="G23" s="16"/>
      <c r="H23" s="16"/>
    </row>
    <row r="24">
      <c r="A24" s="31" t="s">
        <v>34</v>
      </c>
      <c r="B24" s="26"/>
      <c r="C24" s="27"/>
      <c r="D24" s="27"/>
      <c r="E24" s="26"/>
      <c r="F24" s="26"/>
      <c r="G24" s="16"/>
      <c r="H24" s="16"/>
    </row>
    <row r="25">
      <c r="A25" s="26"/>
      <c r="B25" s="26"/>
      <c r="C25" s="27"/>
      <c r="D25" s="27"/>
      <c r="E25" s="26"/>
      <c r="F25" s="26"/>
      <c r="G25" s="16"/>
      <c r="H25" s="16"/>
    </row>
    <row r="26">
      <c r="A26" s="28" t="s">
        <v>35</v>
      </c>
      <c r="B26" s="29"/>
      <c r="C26" s="30"/>
      <c r="D26" s="30"/>
      <c r="E26" s="29"/>
      <c r="F26" s="29"/>
      <c r="G26" s="7"/>
      <c r="H26" s="7"/>
    </row>
    <row r="27">
      <c r="A27" s="31" t="s">
        <v>36</v>
      </c>
      <c r="B27" s="26"/>
      <c r="C27" s="27"/>
      <c r="D27" s="27"/>
      <c r="E27" s="26"/>
      <c r="F27" s="26"/>
      <c r="G27" s="13"/>
      <c r="H27" s="13"/>
    </row>
    <row r="28">
      <c r="A28" s="31" t="s">
        <v>37</v>
      </c>
      <c r="B28" s="26"/>
      <c r="C28" s="27"/>
      <c r="D28" s="27"/>
      <c r="E28" s="26"/>
      <c r="F28" s="26"/>
      <c r="G28" s="16"/>
      <c r="H28" s="16"/>
    </row>
    <row r="29">
      <c r="A29" s="26"/>
      <c r="B29" s="26"/>
      <c r="C29" s="27"/>
      <c r="D29" s="27"/>
      <c r="E29" s="26"/>
      <c r="F29" s="26"/>
      <c r="G29" s="16"/>
      <c r="H29" s="16"/>
    </row>
    <row r="30">
      <c r="A30" s="3" t="s">
        <v>38</v>
      </c>
      <c r="B30" s="7"/>
      <c r="C30" s="21"/>
      <c r="D30" s="21"/>
      <c r="E30" s="7"/>
      <c r="F30" s="7"/>
      <c r="G30" s="7"/>
      <c r="H30" s="7"/>
    </row>
    <row r="31">
      <c r="A31" s="2" t="s">
        <v>39</v>
      </c>
      <c r="B31" s="1"/>
      <c r="C31" s="15"/>
      <c r="D31" s="15"/>
      <c r="E31" s="1"/>
      <c r="F31" s="1"/>
      <c r="G31" s="35"/>
      <c r="H31" s="35"/>
    </row>
    <row r="32">
      <c r="A32" s="2" t="s">
        <v>40</v>
      </c>
      <c r="B32" s="1"/>
      <c r="C32" s="15"/>
      <c r="D32" s="15"/>
      <c r="E32" s="1"/>
      <c r="F32" s="1"/>
      <c r="G32" s="23"/>
      <c r="H32" s="35"/>
    </row>
    <row r="33">
      <c r="A33" s="1"/>
      <c r="B33" s="1"/>
      <c r="C33" s="15"/>
      <c r="D33" s="15"/>
      <c r="E33" s="1"/>
      <c r="F33" s="1"/>
      <c r="G33" s="23"/>
      <c r="H33" s="35"/>
    </row>
    <row r="34">
      <c r="A34" s="3" t="s">
        <v>41</v>
      </c>
      <c r="B34" s="7"/>
      <c r="C34" s="20">
        <v>8397</v>
      </c>
      <c r="D34" s="20"/>
      <c r="E34" s="20">
        <v>112133</v>
      </c>
      <c r="F34" s="20">
        <v>61497</v>
      </c>
      <c r="G34" s="7"/>
      <c r="H34" s="7"/>
    </row>
    <row customHeight="true" ht="20" r="35">
      <c r="A35" s="2" t="s">
        <v>42</v>
      </c>
      <c r="B35" s="1"/>
      <c r="C35" s="24">
        <v>0.032</v>
      </c>
      <c r="D35" s="36"/>
      <c r="E35" s="37">
        <v>0.129</v>
      </c>
      <c r="F35" s="37">
        <v>0.092</v>
      </c>
      <c r="G35" s="23"/>
      <c r="H35" s="23"/>
    </row>
    <row customHeight="true" ht="20" r="36">
      <c r="A36" s="2" t="s">
        <v>43</v>
      </c>
      <c r="B36" s="1"/>
      <c r="C36" s="12">
        <v>174</v>
      </c>
      <c r="D36" s="12"/>
      <c r="E36" s="25">
        <v>427</v>
      </c>
      <c r="F36" s="25">
        <v>389</v>
      </c>
      <c r="G36" s="23"/>
      <c r="H36" s="23"/>
    </row>
    <row r="37">
      <c r="A37" s="2" t="s">
        <v>44</v>
      </c>
      <c r="B37" s="1"/>
      <c r="C37" s="12">
        <v>2086</v>
      </c>
      <c r="D37" s="15"/>
      <c r="E37" s="22">
        <v>17336</v>
      </c>
      <c r="F37" s="22">
        <v>10544</v>
      </c>
      <c r="G37" s="23"/>
      <c r="H37" s="23"/>
    </row>
    <row customHeight="true" ht="20" r="38">
      <c r="A38" s="2" t="s">
        <v>45</v>
      </c>
      <c r="B38" s="38"/>
      <c r="C38" s="12">
        <v>6137</v>
      </c>
      <c r="D38" s="12"/>
      <c r="E38" s="10">
        <v>94370</v>
      </c>
      <c r="F38" s="10">
        <v>50564</v>
      </c>
      <c r="G38" s="23"/>
      <c r="H38" s="23"/>
    </row>
    <row customHeight="true" ht="20" r="39">
      <c r="A39" s="39"/>
      <c r="B39" s="38"/>
      <c r="C39" s="40"/>
      <c r="D39" s="40"/>
      <c r="E39" s="38"/>
      <c r="F39" s="38"/>
      <c r="G39" s="23"/>
      <c r="H39" s="23"/>
    </row>
    <row r="40">
      <c r="A40" s="28" t="s">
        <v>46</v>
      </c>
      <c r="B40" s="29"/>
      <c r="C40" s="30"/>
      <c r="D40" s="30"/>
      <c r="E40" s="29"/>
      <c r="F40" s="29"/>
      <c r="G40" s="7"/>
      <c r="H40" s="7"/>
    </row>
    <row r="41">
      <c r="A41" s="31" t="s">
        <v>47</v>
      </c>
      <c r="B41" s="27">
        <v>2000</v>
      </c>
      <c r="C41" s="41">
        <v>4106</v>
      </c>
      <c r="D41" s="27"/>
      <c r="E41" s="27"/>
      <c r="G41" s="2"/>
      <c r="H41" s="1"/>
    </row>
  </sheetData>
  <mergeCells>
    <mergeCell ref="H31:H33"/>
    <mergeCell ref="G3:G13"/>
    <mergeCell ref="H3:H13"/>
    <mergeCell ref="G21:G25"/>
    <mergeCell ref="H21:H25"/>
    <mergeCell ref="G27:G29"/>
    <mergeCell ref="H27:H29"/>
    <mergeCell ref="G15:G19"/>
    <mergeCell ref="H15:H19"/>
    <mergeCell ref="G31:G33"/>
    <mergeCell ref="G36:G39"/>
    <mergeCell ref="H36:H39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3" defaultRowHeight="20"/>
  <cols>
    <col collapsed="false" customWidth="true" hidden="false" max="7" min="7" style="0" width="28"/>
    <col collapsed="false" customWidth="true" hidden="false" max="8" min="8" style="0" width="24"/>
    <col collapsed="false" customWidth="true" hidden="false" max="1" min="1" style="0" width="21"/>
    <col collapsed="false" customWidth="true" hidden="false" max="2" min="2" style="0" width="16"/>
    <col collapsed="false" customWidth="true" hidden="false" max="3" min="3" style="0" width="13"/>
    <col collapsed="false" customWidth="true" hidden="false" max="4" min="4" style="0" width="13"/>
  </cols>
  <sheetData>
    <row r="1">
      <c r="A1" s="42" t="s">
        <v>48</v>
      </c>
      <c r="B1" s="42"/>
      <c r="C1" s="42"/>
      <c r="D1" s="42"/>
      <c r="E1" s="42"/>
      <c r="F1" s="42"/>
      <c r="G1" s="42"/>
      <c r="H1" s="42"/>
    </row>
    <row r="2">
      <c r="A2" s="43" t="s">
        <v>49</v>
      </c>
      <c r="B2" s="43" t="s">
        <v>50</v>
      </c>
      <c r="C2" s="43" t="s">
        <v>51</v>
      </c>
      <c r="D2" s="43" t="s">
        <v>52</v>
      </c>
      <c r="E2" s="43" t="s">
        <v>53</v>
      </c>
      <c r="F2" s="43" t="s">
        <v>54</v>
      </c>
      <c r="G2" s="44" t="s">
        <v>55</v>
      </c>
      <c r="H2" s="44" t="s">
        <v>56</v>
      </c>
    </row>
    <row r="3">
      <c r="A3" s="45" t="s">
        <v>57</v>
      </c>
      <c r="B3" s="46"/>
      <c r="C3" s="47"/>
      <c r="D3" s="47"/>
      <c r="E3" s="47"/>
      <c r="F3" s="47"/>
      <c r="G3" s="48"/>
      <c r="H3" s="49"/>
    </row>
    <row customHeight="true" ht="25" r="4">
      <c r="A4" s="45" t="s">
        <v>58</v>
      </c>
      <c r="B4" s="45">
        <v>195</v>
      </c>
      <c r="C4" s="50">
        <v>197</v>
      </c>
      <c r="D4" s="50">
        <v>197</v>
      </c>
      <c r="E4" s="50">
        <v>197</v>
      </c>
      <c r="F4" s="50">
        <v>197</v>
      </c>
      <c r="G4" s="49"/>
      <c r="H4" s="49"/>
    </row>
    <row customHeight="true" ht="25" r="5">
      <c r="A5" s="45" t="s">
        <v>59</v>
      </c>
      <c r="B5" s="45">
        <v>-1</v>
      </c>
      <c r="C5" s="50">
        <v>-1</v>
      </c>
      <c r="D5" s="50">
        <v>2</v>
      </c>
      <c r="E5" s="50">
        <v>0</v>
      </c>
      <c r="F5" s="50">
        <v>0</v>
      </c>
      <c r="G5" s="49"/>
      <c r="H5" s="49"/>
    </row>
    <row r="6">
      <c r="A6" s="45" t="s">
        <v>60</v>
      </c>
      <c r="B6" s="45">
        <v>170</v>
      </c>
      <c r="C6" s="50">
        <v>150.9</v>
      </c>
      <c r="D6" s="51">
        <v>147.9</v>
      </c>
      <c r="E6" s="50">
        <v>150.9</v>
      </c>
      <c r="F6" s="50">
        <v>150.9</v>
      </c>
      <c r="G6" s="49"/>
      <c r="H6" s="49"/>
    </row>
    <row r="7">
      <c r="A7" s="52" t="s">
        <v>61</v>
      </c>
      <c r="B7" s="53">
        <v>18</v>
      </c>
      <c r="C7" s="54">
        <f>C6-135</f>
      </c>
      <c r="D7" s="54">
        <v>3.0999999999999943</v>
      </c>
      <c r="E7" s="54">
        <v>3</v>
      </c>
      <c r="F7" s="54">
        <f>F6-E6</f>
      </c>
      <c r="G7" s="55"/>
      <c r="H7" s="55"/>
    </row>
    <row r="8">
      <c r="A8" s="42" t="s">
        <v>62</v>
      </c>
      <c r="B8" s="42"/>
      <c r="C8" s="42"/>
      <c r="D8" s="42"/>
      <c r="E8" s="42"/>
      <c r="F8" s="42"/>
      <c r="G8" s="42"/>
      <c r="H8" s="42"/>
    </row>
    <row r="9">
      <c r="A9" s="56" t="s">
        <v>63</v>
      </c>
      <c r="B9" s="46"/>
      <c r="C9" s="47"/>
      <c r="D9" s="47"/>
      <c r="E9" s="47"/>
      <c r="F9" s="50"/>
      <c r="G9" s="57"/>
      <c r="H9" s="58"/>
    </row>
    <row r="10">
      <c r="A10" s="45" t="s">
        <v>64</v>
      </c>
      <c r="B10" s="45">
        <v>0.7</v>
      </c>
      <c r="C10" s="50">
        <v>1.1009</v>
      </c>
      <c r="D10" s="51">
        <v>0.3138</v>
      </c>
      <c r="E10" s="50">
        <v>0.3901</v>
      </c>
      <c r="F10" s="50">
        <v>0.3901</v>
      </c>
      <c r="G10" s="59"/>
      <c r="H10" s="60"/>
    </row>
    <row r="11">
      <c r="A11" s="45" t="s">
        <v>65</v>
      </c>
      <c r="B11" s="45">
        <v>240</v>
      </c>
      <c r="C11" s="50"/>
      <c r="D11" s="51"/>
      <c r="E11" s="50"/>
      <c r="F11" s="50"/>
      <c r="G11" s="59"/>
      <c r="H11" s="60"/>
    </row>
    <row r="12">
      <c r="A12" s="45" t="s">
        <v>66</v>
      </c>
      <c r="B12" s="61">
        <v>0.2</v>
      </c>
      <c r="C12" s="50"/>
      <c r="D12" s="51"/>
      <c r="E12" s="50"/>
      <c r="F12" s="50"/>
      <c r="G12" s="59"/>
      <c r="H12" s="60"/>
    </row>
    <row r="13">
      <c r="A13" s="45" t="s">
        <v>67</v>
      </c>
      <c r="B13" s="61">
        <v>0.7</v>
      </c>
      <c r="C13" s="62">
        <v>0.9</v>
      </c>
      <c r="D13" s="63">
        <v>0.9</v>
      </c>
      <c r="E13" s="62">
        <v>0.9</v>
      </c>
      <c r="F13" s="62">
        <v>0.9</v>
      </c>
      <c r="G13" s="59"/>
      <c r="H13" s="60"/>
    </row>
    <row r="14">
      <c r="A14" s="52" t="s">
        <v>68</v>
      </c>
      <c r="B14" s="64">
        <v>0.02</v>
      </c>
      <c r="C14" s="65">
        <v>0.03</v>
      </c>
      <c r="D14" s="65">
        <v>0.025</v>
      </c>
      <c r="E14" s="65">
        <v>0.03</v>
      </c>
      <c r="F14" s="65">
        <v>0.03</v>
      </c>
      <c r="G14" s="66"/>
      <c r="H14" s="67"/>
    </row>
    <row r="15">
      <c r="A15" s="68" t="s">
        <v>69</v>
      </c>
      <c r="B15" s="46"/>
      <c r="C15" s="47"/>
      <c r="D15" s="47"/>
      <c r="E15" s="47"/>
      <c r="F15" s="50"/>
      <c r="G15" s="69"/>
      <c r="H15" s="70"/>
    </row>
    <row r="16">
      <c r="A16" s="71" t="s">
        <v>64</v>
      </c>
      <c r="B16" s="45">
        <v>0.5</v>
      </c>
      <c r="C16" s="50">
        <v>0.0008</v>
      </c>
      <c r="D16" s="51">
        <v>0.0001</v>
      </c>
      <c r="E16" s="50">
        <v>0</v>
      </c>
      <c r="F16" s="50">
        <v>0</v>
      </c>
      <c r="G16" s="72"/>
      <c r="H16" s="70"/>
    </row>
    <row r="17">
      <c r="A17" s="45" t="s">
        <v>70</v>
      </c>
      <c r="B17" s="45">
        <v>9</v>
      </c>
      <c r="C17" s="50">
        <v>0.6</v>
      </c>
      <c r="D17" s="51" t="s">
        <v>71</v>
      </c>
      <c r="E17" s="50" t="s">
        <v>71</v>
      </c>
      <c r="F17" s="50" t="s">
        <v>71</v>
      </c>
      <c r="G17" s="72"/>
      <c r="H17" s="70"/>
    </row>
    <row r="18">
      <c r="A18" s="45" t="s">
        <v>72</v>
      </c>
      <c r="B18" s="45">
        <v>300</v>
      </c>
      <c r="C18" s="50">
        <v>20</v>
      </c>
      <c r="D18" s="51" t="s">
        <v>71</v>
      </c>
      <c r="E18" s="50" t="s">
        <v>71</v>
      </c>
      <c r="F18" s="50" t="s">
        <v>71</v>
      </c>
      <c r="G18" s="72"/>
      <c r="H18" s="70"/>
    </row>
    <row r="19">
      <c r="A19" s="45" t="s">
        <v>73</v>
      </c>
      <c r="B19" s="45">
        <v>300</v>
      </c>
      <c r="C19" s="50">
        <v>300</v>
      </c>
      <c r="D19" s="51" t="s">
        <v>71</v>
      </c>
      <c r="E19" s="50" t="s">
        <v>71</v>
      </c>
      <c r="F19" s="50" t="s">
        <v>71</v>
      </c>
      <c r="G19" s="72"/>
      <c r="H19" s="70"/>
    </row>
    <row r="20">
      <c r="A20" s="45" t="s">
        <v>74</v>
      </c>
      <c r="B20" s="61">
        <v>0.3</v>
      </c>
      <c r="C20" s="73">
        <v>0.3352</v>
      </c>
      <c r="D20" s="74" t="s">
        <v>71</v>
      </c>
      <c r="E20" s="73" t="s">
        <v>71</v>
      </c>
      <c r="F20" s="75" t="s">
        <v>71</v>
      </c>
      <c r="G20" s="72"/>
      <c r="H20" s="70"/>
    </row>
    <row r="21">
      <c r="A21" s="52" t="s">
        <v>75</v>
      </c>
      <c r="B21" s="76">
        <v>0.2</v>
      </c>
      <c r="C21" s="77">
        <v>0.0832</v>
      </c>
      <c r="D21" s="78" t="s">
        <v>71</v>
      </c>
      <c r="E21" s="77" t="s">
        <v>71</v>
      </c>
      <c r="F21" s="78" t="s">
        <v>71</v>
      </c>
      <c r="G21" s="79"/>
      <c r="H21" s="80"/>
    </row>
    <row r="22">
      <c r="A22" s="81" t="s">
        <v>76</v>
      </c>
      <c r="B22" s="46"/>
      <c r="C22" s="47"/>
      <c r="D22" s="47"/>
      <c r="E22" s="47"/>
      <c r="F22" s="50"/>
      <c r="G22" s="82"/>
      <c r="H22" s="83"/>
    </row>
    <row r="23">
      <c r="A23" s="45" t="s">
        <v>64</v>
      </c>
      <c r="B23" s="45">
        <v>0.3</v>
      </c>
      <c r="C23" s="50" t="s">
        <v>71</v>
      </c>
      <c r="D23" s="50" t="s">
        <v>71</v>
      </c>
      <c r="E23" s="50" t="s">
        <v>71</v>
      </c>
      <c r="F23" s="50" t="s">
        <v>71</v>
      </c>
      <c r="G23" s="83"/>
      <c r="H23" s="83"/>
    </row>
    <row r="24">
      <c r="A24" s="45" t="s">
        <v>77</v>
      </c>
      <c r="B24" s="45">
        <v>3000</v>
      </c>
      <c r="C24" s="50" t="s">
        <v>71</v>
      </c>
      <c r="D24" s="50" t="s">
        <v>71</v>
      </c>
      <c r="E24" s="50" t="s">
        <v>71</v>
      </c>
      <c r="F24" s="50" t="s">
        <v>71</v>
      </c>
      <c r="G24" s="83"/>
      <c r="H24" s="83"/>
    </row>
    <row r="25">
      <c r="A25" s="45" t="s">
        <v>78</v>
      </c>
      <c r="B25" s="45">
        <v>5</v>
      </c>
      <c r="C25" s="50" t="s">
        <v>71</v>
      </c>
      <c r="D25" s="50" t="s">
        <v>71</v>
      </c>
      <c r="E25" s="50" t="s">
        <v>71</v>
      </c>
      <c r="F25" s="50" t="s">
        <v>71</v>
      </c>
      <c r="G25" s="83"/>
      <c r="H25" s="83"/>
    </row>
    <row r="26">
      <c r="A26" s="45" t="s">
        <v>68</v>
      </c>
      <c r="B26" s="61">
        <v>0.3</v>
      </c>
      <c r="C26" s="84" t="s">
        <v>71</v>
      </c>
      <c r="D26" s="84" t="s">
        <v>71</v>
      </c>
      <c r="E26" s="84" t="s">
        <v>71</v>
      </c>
      <c r="F26" s="75" t="s">
        <v>71</v>
      </c>
      <c r="G26" s="83"/>
      <c r="H26" s="83"/>
    </row>
    <row r="27">
      <c r="A27" s="52" t="s">
        <v>79</v>
      </c>
      <c r="B27" s="76">
        <v>0.5</v>
      </c>
      <c r="C27" s="85" t="s">
        <v>71</v>
      </c>
      <c r="D27" s="85" t="s">
        <v>71</v>
      </c>
      <c r="E27" s="85" t="s">
        <v>71</v>
      </c>
      <c r="F27" s="85" t="s">
        <v>71</v>
      </c>
      <c r="G27" s="86"/>
      <c r="H27" s="86"/>
    </row>
    <row r="28">
      <c r="A28" s="87" t="s">
        <v>80</v>
      </c>
      <c r="B28" s="46"/>
      <c r="C28" s="47"/>
      <c r="D28" s="47"/>
      <c r="E28" s="47"/>
      <c r="F28" s="50"/>
      <c r="G28" s="88"/>
      <c r="H28" s="89"/>
    </row>
    <row customHeight="true" ht="91" r="29">
      <c r="A29" s="90" t="s">
        <v>64</v>
      </c>
      <c r="B29" s="91">
        <v>0.1</v>
      </c>
      <c r="C29" s="54">
        <v>0.0468</v>
      </c>
      <c r="D29" s="92">
        <v>0.0119</v>
      </c>
      <c r="E29" s="54">
        <v>0.0071</v>
      </c>
      <c r="F29" s="54">
        <v>0.0071</v>
      </c>
      <c r="G29" s="86"/>
      <c r="H29" s="93"/>
    </row>
    <row r="30">
      <c r="A30" s="56" t="s">
        <v>81</v>
      </c>
      <c r="B30" s="46"/>
      <c r="C30" s="47"/>
      <c r="D30" s="47"/>
      <c r="E30" s="47"/>
      <c r="F30" s="50"/>
      <c r="G30" s="83" t="s">
        <v>82</v>
      </c>
      <c r="H30" s="94"/>
    </row>
    <row r="31">
      <c r="A31" s="45" t="s">
        <v>64</v>
      </c>
      <c r="B31" s="45">
        <v>0.3</v>
      </c>
      <c r="C31" s="50" t="s">
        <v>71</v>
      </c>
      <c r="D31" s="50" t="s">
        <v>71</v>
      </c>
      <c r="E31" s="50" t="s">
        <v>71</v>
      </c>
      <c r="F31" s="50" t="s">
        <v>71</v>
      </c>
      <c r="G31" s="83"/>
      <c r="H31" s="94"/>
    </row>
    <row r="32">
      <c r="A32" s="45" t="s">
        <v>83</v>
      </c>
      <c r="B32" s="45">
        <v>1</v>
      </c>
      <c r="C32" s="50"/>
      <c r="D32" s="50" t="s">
        <v>71</v>
      </c>
      <c r="E32" s="50" t="s">
        <v>71</v>
      </c>
      <c r="F32" s="50" t="s">
        <v>71</v>
      </c>
      <c r="G32" s="83"/>
      <c r="H32" s="94"/>
    </row>
    <row r="33">
      <c r="A33" s="52" t="s">
        <v>75</v>
      </c>
      <c r="B33" s="76">
        <v>0.3</v>
      </c>
      <c r="C33" s="95" t="s">
        <v>71</v>
      </c>
      <c r="D33" s="96" t="s">
        <v>71</v>
      </c>
      <c r="E33" s="97" t="s">
        <v>71</v>
      </c>
      <c r="F33" s="95" t="s">
        <v>71</v>
      </c>
      <c r="G33" s="86"/>
      <c r="H33" s="98"/>
    </row>
  </sheetData>
  <mergeCells>
    <mergeCell ref="A1:H1"/>
    <mergeCell ref="G3:H7"/>
    <mergeCell ref="A8:H8"/>
    <mergeCell ref="G9:G14"/>
    <mergeCell ref="H9:H14"/>
    <mergeCell ref="G15:G21"/>
    <mergeCell ref="H15:H21"/>
    <mergeCell ref="G30:G33"/>
    <mergeCell ref="H30:H33"/>
    <mergeCell ref="G22:G27"/>
    <mergeCell ref="H22:H27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